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48" windowWidth="11520" windowHeight="6900"/>
  </bookViews>
  <sheets>
    <sheet name="Calculation Sheet" sheetId="1" r:id="rId1"/>
    <sheet name="Thermal Shutdown Limit Plot" sheetId="14" r:id="rId2"/>
    <sheet name="Res EIA Tables" sheetId="11" r:id="rId3"/>
    <sheet name="Cap Tables" sheetId="13" r:id="rId4"/>
  </sheets>
  <definedNames>
    <definedName name="_xlnm._FilterDatabase" localSheetId="0" hidden="1">'Calculation Sheet'!$B$7:$F$7</definedName>
    <definedName name="Cdvdt_ext">'Calculation Sheet'!$D$52</definedName>
    <definedName name="Cdvdt_ext_cal1">'Calculation Sheet'!$D$49</definedName>
    <definedName name="Cext_dvdt_cal2">'Calculation Sheet'!$D$50</definedName>
    <definedName name="Cout">'Calculation Sheet'!$D$9</definedName>
    <definedName name="Gain_dVdt">'Calculation Sheet'!$D$44</definedName>
    <definedName name="GainIMON">'Calculation Sheet'!$D$87</definedName>
    <definedName name="I_dVdt">'Calculation Sheet'!$D$43</definedName>
    <definedName name="Icharge">'Calculation Sheet'!$D$53</definedName>
    <definedName name="Icharge_req">'Calculation Sheet'!$D$48</definedName>
    <definedName name="Ilimit">'Calculation Sheet'!$D$12</definedName>
    <definedName name="Ilimit_final">'Calculation Sheet'!$D$38</definedName>
    <definedName name="Imax">'Calculation Sheet'!$D$11</definedName>
    <definedName name="OVref">'Calculation Sheet'!$D$86</definedName>
    <definedName name="OVset">'Calculation Sheet'!$D$14</definedName>
    <definedName name="Rdson_125deg">'Calculation Sheet'!$D$77</definedName>
    <definedName name="Rdson_25deg">'Calculation Sheet'!$D$76</definedName>
    <definedName name="RILM">'Calculation Sheet'!$D$37</definedName>
    <definedName name="Rlimit">'Calculation Sheet'!$D$37</definedName>
    <definedName name="Rlstart">'Calculation Sheet'!$D$10</definedName>
    <definedName name="RpUVLO">'Calculation Sheet'!$D$17</definedName>
    <definedName name="Tchg_dvdt">'Calculation Sheet'!$D$55</definedName>
    <definedName name="Tchg_req">'Calculation Sheet'!$D$47</definedName>
    <definedName name="UVref">'Calculation Sheet'!$D$85</definedName>
    <definedName name="UVset">'Calculation Sheet'!$D$7</definedName>
    <definedName name="Vcc_max">'Calculation Sheet'!$D$6</definedName>
    <definedName name="VUVP">'Calculation Sheet'!$D$8</definedName>
  </definedNames>
  <calcPr calcId="145621"/>
</workbook>
</file>

<file path=xl/calcChain.xml><?xml version="1.0" encoding="utf-8"?>
<calcChain xmlns="http://schemas.openxmlformats.org/spreadsheetml/2006/main">
  <c r="D38" i="1" l="1"/>
  <c r="D35" i="1"/>
  <c r="D47" i="1" l="1"/>
  <c r="G10" i="1"/>
  <c r="D12" i="1"/>
  <c r="F39" i="1" l="1"/>
  <c r="D8" i="1"/>
  <c r="J26" i="1" s="1"/>
  <c r="D18" i="1"/>
  <c r="F38" i="1"/>
  <c r="L2" i="1" l="1"/>
  <c r="D13" i="1"/>
  <c r="J20" i="1" s="1"/>
  <c r="L26" i="1" l="1"/>
  <c r="D27" i="1"/>
  <c r="L27" i="1" s="1"/>
  <c r="L29" i="1" s="1"/>
  <c r="G29" i="1" s="1"/>
  <c r="L35" i="1"/>
  <c r="L37" i="1" s="1"/>
  <c r="G37" i="1" s="1"/>
  <c r="F29" i="1" l="1"/>
  <c r="F30" i="1" l="1"/>
  <c r="F31" i="1" s="1"/>
  <c r="D77" i="1" l="1"/>
  <c r="D76" i="1"/>
  <c r="F55" i="1" l="1"/>
  <c r="F53" i="1" s="1"/>
  <c r="L17" i="1" l="1"/>
  <c r="C21" i="1" l="1"/>
  <c r="F20" i="1"/>
  <c r="F21" i="1" s="1"/>
  <c r="F22" i="1" l="1"/>
  <c r="B74" i="13"/>
  <c r="B73" i="13"/>
  <c r="B71" i="13"/>
  <c r="B70" i="13"/>
  <c r="B69" i="13" s="1"/>
  <c r="B67" i="13"/>
  <c r="B66" i="13"/>
  <c r="B65" i="13"/>
  <c r="B63" i="13"/>
  <c r="B62" i="13"/>
  <c r="B61" i="13"/>
  <c r="B59" i="13"/>
  <c r="B58" i="13" s="1"/>
  <c r="B57" i="13" s="1"/>
  <c r="B55" i="13"/>
  <c r="B54" i="13"/>
  <c r="B53" i="13" s="1"/>
  <c r="B51" i="13"/>
  <c r="B50" i="13"/>
  <c r="B49" i="13"/>
  <c r="B47" i="13"/>
  <c r="B46" i="13"/>
  <c r="B45" i="13"/>
  <c r="B43" i="13"/>
  <c r="B42" i="13" s="1"/>
  <c r="B41" i="13" s="1"/>
  <c r="B39" i="13"/>
  <c r="B38" i="13"/>
  <c r="B37" i="13" s="1"/>
  <c r="B35" i="13"/>
  <c r="B34" i="13"/>
  <c r="B33" i="13"/>
  <c r="B31" i="13"/>
  <c r="B30" i="13"/>
  <c r="B29" i="13"/>
  <c r="C73" i="13"/>
  <c r="C74" i="13"/>
  <c r="C71" i="13"/>
  <c r="C70" i="13"/>
  <c r="C69" i="13" s="1"/>
  <c r="C67" i="13"/>
  <c r="C66" i="13"/>
  <c r="C65" i="13" s="1"/>
  <c r="C63" i="13"/>
  <c r="C62" i="13"/>
  <c r="C61" i="13" s="1"/>
  <c r="C59" i="13"/>
  <c r="C58" i="13"/>
  <c r="C57" i="13"/>
  <c r="C55" i="13"/>
  <c r="C54" i="13"/>
  <c r="C53" i="13"/>
  <c r="C51" i="13"/>
  <c r="C50" i="13"/>
  <c r="C49" i="13"/>
  <c r="C47" i="13"/>
  <c r="C46" i="13"/>
  <c r="C45" i="13" s="1"/>
  <c r="C43" i="13"/>
  <c r="C42" i="13"/>
  <c r="C41" i="13" s="1"/>
  <c r="C39" i="13"/>
  <c r="C38" i="13"/>
  <c r="C37" i="13" s="1"/>
  <c r="C35" i="13"/>
  <c r="C34" i="13"/>
  <c r="C33" i="13"/>
  <c r="C31" i="13"/>
  <c r="C30" i="13"/>
  <c r="C29" i="13"/>
  <c r="C27" i="13"/>
  <c r="C26" i="13"/>
  <c r="C25" i="13"/>
  <c r="C23" i="13"/>
  <c r="C22" i="13"/>
  <c r="C21" i="13" s="1"/>
  <c r="C18" i="13"/>
  <c r="C17" i="13" s="1"/>
  <c r="C19" i="13"/>
  <c r="D59" i="1"/>
  <c r="D37" i="1" l="1"/>
  <c r="D39" i="1" s="1"/>
  <c r="D29" i="1"/>
  <c r="D31" i="1" s="1"/>
  <c r="L18" i="1"/>
  <c r="L20" i="1" s="1"/>
  <c r="G20" i="1" s="1"/>
  <c r="D48" i="1" l="1"/>
  <c r="D50" i="1" s="1"/>
  <c r="D30" i="1"/>
  <c r="D32" i="1"/>
  <c r="D49" i="1"/>
  <c r="D20" i="1"/>
  <c r="D22" i="1" s="1"/>
  <c r="G50" i="1" l="1"/>
  <c r="G52" i="1" s="1"/>
  <c r="D52" i="1" s="1"/>
  <c r="J18" i="1"/>
  <c r="D21" i="1"/>
  <c r="J19" i="1" s="1"/>
  <c r="J28" i="1"/>
  <c r="J27" i="1"/>
  <c r="D45" i="1"/>
  <c r="J36" i="1"/>
  <c r="D23" i="1"/>
  <c r="D53" i="1" l="1"/>
  <c r="J35" i="1" s="1"/>
  <c r="G54" i="1" l="1"/>
  <c r="D54" i="1"/>
  <c r="D55" i="1" s="1"/>
  <c r="D66" i="1"/>
  <c r="D67" i="1"/>
  <c r="D61" i="1" l="1"/>
  <c r="D56" i="1"/>
  <c r="D60" i="1" s="1"/>
  <c r="D62" i="1" l="1"/>
  <c r="C29" i="14"/>
  <c r="B29" i="14"/>
</calcChain>
</file>

<file path=xl/comments1.xml><?xml version="1.0" encoding="utf-8"?>
<comments xmlns="http://schemas.openxmlformats.org/spreadsheetml/2006/main">
  <authors>
    <author>Windows User</author>
    <author>Vishal Gupta</author>
    <author>a0393740</author>
    <author>a0176617</author>
  </authors>
  <commentList>
    <comment ref="C7" authorId="0">
      <text>
        <r>
          <rPr>
            <b/>
            <sz val="9"/>
            <color indexed="81"/>
            <rFont val="Tahoma"/>
            <charset val="1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charset val="1"/>
          </rPr>
          <t>6V, Use R1=1M and R2=OPEN to set the default internal UVP. Otherwise use R1, R2 divider or drive EN pin with uC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8" authorId="1">
      <text>
        <r>
          <rPr>
            <b/>
            <sz val="9"/>
            <color indexed="81"/>
            <rFont val="Tahoma"/>
            <family val="2"/>
          </rPr>
          <t>For Vin ≤ 6V, Use R1=1M and R2=OPEN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1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7" authorId="2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26" authorId="2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3" authorId="3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<sst xmlns="http://schemas.openxmlformats.org/spreadsheetml/2006/main" count="304" uniqueCount="209">
  <si>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</si>
  <si>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</si>
  <si>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</si>
  <si>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</si>
  <si>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</si>
  <si>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</si>
  <si>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</si>
  <si>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</si>
  <si>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</si>
  <si>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</si>
  <si>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</si>
  <si>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</si>
  <si>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</si>
  <si>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</si>
  <si>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</si>
  <si>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</si>
  <si>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</si>
  <si>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</si>
  <si>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</si>
  <si>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</si>
  <si>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</si>
  <si>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</si>
  <si>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</si>
  <si>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</si>
  <si>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</si>
  <si>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</si>
  <si>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</si>
  <si>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</si>
  <si>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</si>
  <si>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</si>
  <si>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</si>
  <si>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</si>
  <si>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</si>
  <si>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Deice maximum junction temperature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</si>
  <si>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</si>
  <si>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</si>
  <si>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</si>
  <si>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</si>
  <si>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</si>
  <si>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</si>
  <si>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</si>
  <si>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</si>
  <si>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</si>
  <si>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</si>
  <si>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</si>
  <si>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</si>
  <si>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</si>
  <si>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</si>
  <si>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</si>
  <si>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</si>
  <si>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</si>
  <si>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</si>
  <si>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</si>
  <si>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</si>
  <si>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</si>
  <si>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</si>
  <si>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</si>
  <si>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</si>
  <si>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</si>
  <si>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</si>
  <si>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</si>
  <si>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</si>
  <si>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</si>
  <si>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</si>
  <si>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</si>
  <si>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</si>
  <si>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</si>
  <si>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</si>
  <si>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</si>
  <si>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</si>
  <si>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</si>
  <si>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</si>
  <si>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</si>
  <si>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</si>
  <si>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</si>
  <si>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</si>
  <si>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</si>
  <si>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V/V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</si>
  <si>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</si>
  <si>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</si>
  <si>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</si>
  <si>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</si>
  <si>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</si>
  <si>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</si>
  <si>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</si>
  <si>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>UVref</t>
  </si>
  <si>
    <t>Calculated, but can be over-ridden by user</t>
  </si>
  <si>
    <t>UVset</t>
  </si>
  <si>
    <t>Thermal Shutdown Time Vs. Power Dissipation</t>
  </si>
  <si>
    <t>Title of Graph</t>
  </si>
  <si>
    <t xml:space="preserve">Power Dissipation 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</si>
  <si>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</si>
  <si>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</si>
  <si>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</si>
  <si>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Lable</t>
  </si>
  <si>
    <t xml:space="preserve">X-Axis </t>
  </si>
  <si>
    <t xml:space="preserve"> Power Dissipation (W)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</si>
  <si>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</si>
  <si>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</si>
  <si>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</si>
  <si>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</si>
  <si>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</si>
  <si>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</si>
  <si>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Select a value &gt; 100K to keep I_R12 low</t>
  </si>
  <si>
    <t>SELECT THE VALUE OF RESISTORS AS CLOSEST AVAILABLE VALUE OF R2</t>
  </si>
  <si>
    <t>Current in R1, R2 Branch</t>
  </si>
  <si>
    <t>Pdiss_Imax</t>
  </si>
  <si>
    <t>VIN (max)</t>
  </si>
  <si>
    <t>I_R12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</si>
  <si>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</si>
  <si>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</si>
  <si>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</si>
  <si>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</si>
  <si>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</si>
  <si>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</si>
  <si>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</si>
  <si>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</si>
  <si>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Version</t>
  </si>
  <si>
    <t>Over Voltage Clamp</t>
  </si>
  <si>
    <t>OV Clamp
(VIN Rising)</t>
  </si>
  <si>
    <t>Release UVLO (VIN Rising)</t>
  </si>
  <si>
    <t>Charging Current as per dVdT setting</t>
  </si>
  <si>
    <t>Tchg_dVdT</t>
  </si>
  <si>
    <t>Pd_Cout_startup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</si>
  <si>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</si>
  <si>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No Clamp</t>
  </si>
  <si>
    <t>TPS2595xx Design Calculation Tool</t>
  </si>
  <si>
    <t>3.3V or 5V or 12V version</t>
  </si>
  <si>
    <t>Refer Table-1 and select based on OverVoltage Clamp/Cut-off and Active High/Low requirement</t>
  </si>
  <si>
    <t>TPS259520</t>
  </si>
  <si>
    <t>TPS259521</t>
  </si>
  <si>
    <t>TPS259525</t>
  </si>
  <si>
    <t>TPS259530</t>
  </si>
  <si>
    <t>TPS259531</t>
  </si>
  <si>
    <t>TPS259535</t>
  </si>
  <si>
    <t>TPS259533</t>
  </si>
  <si>
    <t>Enable</t>
  </si>
  <si>
    <t>TPS259540</t>
  </si>
  <si>
    <t>TPS259541</t>
  </si>
  <si>
    <t>TPS259570</t>
  </si>
  <si>
    <t>TPS259571</t>
  </si>
  <si>
    <t>TPS259573</t>
  </si>
  <si>
    <t>OV Cut-off</t>
  </si>
  <si>
    <t>Active Low</t>
  </si>
  <si>
    <t>Active High</t>
  </si>
  <si>
    <t>Latch-off</t>
  </si>
  <si>
    <t>Auto-retry</t>
  </si>
  <si>
    <t>OVset</t>
  </si>
  <si>
    <t>R1: Pullup at EN/UVLO Pin</t>
  </si>
  <si>
    <t>Calculated value of Resistor at EN/UVLO pin</t>
  </si>
  <si>
    <t>OV_final</t>
  </si>
  <si>
    <t>OV_release</t>
  </si>
  <si>
    <t>Release OVLO (VIN Falling)</t>
  </si>
  <si>
    <t>Over Voltage Cut-Off Threshold (VIN Rising)</t>
  </si>
  <si>
    <t>Y-Axis</t>
  </si>
  <si>
    <t>Thermal Shutdown time (ms)</t>
  </si>
  <si>
    <t>Pd (W)</t>
  </si>
  <si>
    <t>Tstart (ms)</t>
  </si>
  <si>
    <t>OVref</t>
  </si>
  <si>
    <t>OV Cutoff (VIN Rising)</t>
  </si>
  <si>
    <t>Current monitor gain</t>
  </si>
  <si>
    <t>uA/A</t>
  </si>
  <si>
    <t>GainIMON</t>
  </si>
  <si>
    <r>
      <t>Select the closest available value of R</t>
    </r>
    <r>
      <rPr>
        <sz val="7"/>
        <color theme="1"/>
        <rFont val="Calibri"/>
        <family val="2"/>
        <scheme val="minor"/>
      </rPr>
      <t>LM</t>
    </r>
    <r>
      <rPr>
        <sz val="11"/>
        <color theme="1"/>
        <rFont val="Calibri"/>
        <family val="2"/>
        <scheme val="minor"/>
      </rPr>
      <t>_cal</t>
    </r>
  </si>
  <si>
    <t>SELECT A ILIMIT RESISTOR WITH THE CLOSEST AVAILABLE VALUE OF Rilm_Cal</t>
  </si>
  <si>
    <t>Calculations for Ilimit (resistor on ILM Pin)</t>
  </si>
  <si>
    <t>RILM</t>
  </si>
  <si>
    <t>RILM_Cal</t>
  </si>
  <si>
    <t>Thermal Shutdown Time (ms) Vs. Power Dissipation (W)</t>
  </si>
  <si>
    <t>Calculations for SoftStart control (external cap on dVdt pin)</t>
  </si>
  <si>
    <t>Internal current charging capacitor on dVdt</t>
  </si>
  <si>
    <t>Internal Gain for dVdt Control</t>
  </si>
  <si>
    <t>I_dVdt</t>
  </si>
  <si>
    <t>Gain_dVdt</t>
  </si>
  <si>
    <t>when no external capacitor  is connected (max. slew rate)</t>
  </si>
  <si>
    <t>Tchg_fastest</t>
  </si>
  <si>
    <t>Table - 1: Device Comparison Table</t>
  </si>
  <si>
    <t xml:space="preserve">UVLO set point calculations </t>
  </si>
  <si>
    <t>Value</t>
  </si>
  <si>
    <t>Recommended</t>
  </si>
  <si>
    <t>Current Limit, 7.5% higher than maximum continuous load current</t>
  </si>
  <si>
    <t>Error Cells, Must be Fixed</t>
  </si>
  <si>
    <t>QOD</t>
  </si>
  <si>
    <t>No</t>
  </si>
  <si>
    <t>Yes</t>
  </si>
  <si>
    <r>
      <t>V</t>
    </r>
    <r>
      <rPr>
        <b/>
        <vertAlign val="subscript"/>
        <sz val="11"/>
        <color theme="0"/>
        <rFont val="Calibri"/>
        <family val="2"/>
        <scheme val="minor"/>
      </rPr>
      <t>OVC</t>
    </r>
    <r>
      <rPr>
        <b/>
        <sz val="11"/>
        <color theme="0"/>
        <rFont val="Calibri"/>
        <family val="2"/>
        <scheme val="minor"/>
      </rPr>
      <t xml:space="preserve"> (V)</t>
    </r>
  </si>
  <si>
    <r>
      <t>Max Rdson 
(m</t>
    </r>
    <r>
      <rPr>
        <b/>
        <sz val="11"/>
        <color theme="0"/>
        <rFont val="Calibri"/>
        <family val="2"/>
      </rPr>
      <t>Ω</t>
    </r>
    <r>
      <rPr>
        <b/>
        <sz val="9.35"/>
        <color theme="0"/>
        <rFont val="Calibri"/>
        <family val="2"/>
      </rPr>
      <t>) @ 25 degC</t>
    </r>
  </si>
  <si>
    <r>
      <t>Max Rdson 
(m</t>
    </r>
    <r>
      <rPr>
        <b/>
        <sz val="11"/>
        <color theme="0"/>
        <rFont val="Calibri"/>
        <family val="2"/>
      </rPr>
      <t>Ω</t>
    </r>
    <r>
      <rPr>
        <b/>
        <sz val="9.35"/>
        <color theme="0"/>
        <rFont val="Calibri"/>
        <family val="2"/>
      </rPr>
      <t>) @ 125 degC</t>
    </r>
  </si>
  <si>
    <t>Fault 
Response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</si>
  <si>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</si>
  <si>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</si>
  <si>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</si>
  <si>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</si>
  <si>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</si>
  <si>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</si>
  <si>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</si>
  <si>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</si>
  <si>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</si>
  <si>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</si>
  <si>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Over voltage cut-off threshold (TPS259573 Only)</t>
  </si>
  <si>
    <t>OVLO set point calculations (TPS259573)</t>
  </si>
  <si>
    <t>Current Monitor Gain</t>
  </si>
  <si>
    <t>Current Monitoring Voltage at ILM pin</t>
  </si>
  <si>
    <t>mV/A</t>
  </si>
  <si>
    <t>Max power dissipation allowed for glitch-free startup for the programmed startup time (20% margin)</t>
  </si>
  <si>
    <t>Maximum Operating input voltage (magnitude)</t>
  </si>
  <si>
    <t>The external capacitor connecetd across dVdT pin (OPEN, or &gt;=3.3nF)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</si>
  <si>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</si>
  <si>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Load at start-up (assumed to be resistive), Refer to Section 9.2.2.3.2 in 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</si>
</sst>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%"/>
    <numFmt numFmtId="166" formatCode="0.000000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.5"/>
      <color rgb="FFFF3737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vertAlign val="subscript"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9.35"/>
      <color theme="0"/>
      <name val="Calibri"/>
      <family val="2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40" fillId="23" borderId="0" applyNumberFormat="0" applyBorder="0" applyAlignment="0" applyProtection="0"/>
    <xf numFmtId="0" fontId="41" fillId="24" borderId="0" applyNumberFormat="0" applyBorder="0" applyAlignment="0" applyProtection="0"/>
    <xf numFmtId="0" fontId="42" fillId="25" borderId="0" applyNumberFormat="0" applyBorder="0" applyAlignment="0" applyProtection="0"/>
  </cellStyleXfs>
  <cellXfs count="270">
    <xf numFmtId="0" fontId="0" fillId="0" borderId="0" xfId="0"/>
    <xf numFmtId="0" fontId="0" fillId="0" borderId="0" xfId="0" applyFont="1" applyAlignment="1">
      <alignment vertical="center"/>
    </xf>
    <xf numFmtId="2" fontId="0" fillId="0" borderId="0" xfId="0" applyNumberFormat="1"/>
    <xf numFmtId="2" fontId="0" fillId="0" borderId="0" xfId="0" applyNumberFormat="1" applyFont="1" applyAlignment="1">
      <alignment horizontal="right" vertical="center" indent="1"/>
    </xf>
    <xf numFmtId="2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 applyProtection="1">
      <alignment horizontal="right" vertical="center" indent="1"/>
    </xf>
    <xf numFmtId="2" fontId="16" fillId="2" borderId="1" xfId="0" applyNumberFormat="1" applyFont="1" applyFill="1" applyBorder="1" applyAlignment="1" applyProtection="1">
      <alignment horizontal="right" vertical="center" indent="1"/>
    </xf>
    <xf numFmtId="2" fontId="16" fillId="17" borderId="1" xfId="0" applyNumberFormat="1" applyFont="1" applyFill="1" applyBorder="1" applyAlignment="1" applyProtection="1">
      <alignment horizontal="right" vertical="center" indent="1"/>
    </xf>
    <xf numFmtId="2" fontId="16" fillId="8" borderId="1" xfId="0" applyNumberFormat="1" applyFont="1" applyFill="1" applyBorder="1" applyAlignment="1" applyProtection="1">
      <alignment horizontal="right" vertical="center" indent="1"/>
    </xf>
    <xf numFmtId="165" fontId="16" fillId="17" borderId="1" xfId="1" applyNumberFormat="1" applyFont="1" applyFill="1" applyBorder="1" applyAlignment="1" applyProtection="1">
      <alignment horizontal="center" vertical="center"/>
    </xf>
    <xf numFmtId="0" fontId="0" fillId="0" borderId="0" xfId="0" applyFont="1" applyFill="1" applyAlignment="1" applyProtection="1">
      <alignment vertical="center"/>
    </xf>
    <xf numFmtId="2" fontId="0" fillId="0" borderId="0" xfId="0" applyNumberFormat="1" applyFont="1" applyAlignment="1" applyProtection="1">
      <alignment horizontal="right" vertical="center" indent="1"/>
    </xf>
    <xf numFmtId="0" fontId="0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2" fontId="6" fillId="10" borderId="1" xfId="0" applyNumberFormat="1" applyFont="1" applyFill="1" applyBorder="1" applyAlignment="1" applyProtection="1">
      <alignment vertical="center"/>
    </xf>
    <xf numFmtId="0" fontId="0" fillId="17" borderId="1" xfId="0" applyFont="1" applyFill="1" applyBorder="1" applyAlignment="1" applyProtection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 applyProtection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 applyProtection="1">
      <alignment horizontal="right" vertical="center" indent="1"/>
    </xf>
    <xf numFmtId="0" fontId="6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vertical="center"/>
    </xf>
    <xf numFmtId="2" fontId="0" fillId="0" borderId="0" xfId="0" applyNumberFormat="1" applyFont="1" applyAlignment="1" applyProtection="1">
      <alignment vertical="center"/>
    </xf>
    <xf numFmtId="164" fontId="16" fillId="8" borderId="1" xfId="0" applyNumberFormat="1" applyFont="1" applyFill="1" applyBorder="1" applyAlignment="1" applyProtection="1">
      <alignment horizontal="right" vertical="center"/>
    </xf>
    <xf numFmtId="0" fontId="0" fillId="0" borderId="0" xfId="0" applyFont="1" applyFill="1" applyAlignment="1" applyProtection="1">
      <alignment horizontal="center" vertical="center"/>
    </xf>
    <xf numFmtId="0" fontId="3" fillId="17" borderId="1" xfId="0" applyFont="1" applyFill="1" applyBorder="1" applyAlignment="1" applyProtection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 applyProtection="1">
      <alignment horizontal="right" vertical="center"/>
    </xf>
    <xf numFmtId="2" fontId="16" fillId="18" borderId="1" xfId="0" applyNumberFormat="1" applyFont="1" applyFill="1" applyBorder="1" applyAlignment="1" applyProtection="1">
      <alignment horizontal="right" vertical="center" indent="1"/>
    </xf>
    <xf numFmtId="165" fontId="18" fillId="18" borderId="1" xfId="1" applyNumberFormat="1" applyFont="1" applyFill="1" applyBorder="1" applyAlignment="1" applyProtection="1">
      <alignment horizontal="center" vertical="center"/>
    </xf>
    <xf numFmtId="2" fontId="16" fillId="19" borderId="1" xfId="0" applyNumberFormat="1" applyFont="1" applyFill="1" applyBorder="1" applyAlignment="1" applyProtection="1">
      <alignment horizontal="right" vertical="center" indent="1"/>
    </xf>
    <xf numFmtId="164" fontId="16" fillId="19" borderId="1" xfId="0" applyNumberFormat="1" applyFont="1" applyFill="1" applyBorder="1" applyAlignment="1" applyProtection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 applyProtection="1">
      <alignment horizontal="center" vertical="center"/>
    </xf>
    <xf numFmtId="2" fontId="18" fillId="20" borderId="3" xfId="0" applyNumberFormat="1" applyFont="1" applyFill="1" applyBorder="1" applyAlignment="1" applyProtection="1">
      <alignment horizontal="right" vertical="center" indent="1"/>
    </xf>
    <xf numFmtId="0" fontId="18" fillId="20" borderId="4" xfId="0" applyFont="1" applyFill="1" applyBorder="1" applyAlignment="1" applyProtection="1">
      <alignment horizontal="center" vertical="center"/>
    </xf>
    <xf numFmtId="2" fontId="22" fillId="5" borderId="1" xfId="0" applyNumberFormat="1" applyFont="1" applyFill="1" applyBorder="1" applyAlignment="1" applyProtection="1">
      <alignment horizontal="right" vertical="center" indent="1"/>
    </xf>
    <xf numFmtId="0" fontId="22" fillId="17" borderId="1" xfId="0" applyFont="1" applyFill="1" applyBorder="1" applyAlignment="1" applyProtection="1">
      <alignment horizontal="left" vertical="center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 applyProtection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0" fontId="16" fillId="17" borderId="1" xfId="0" applyFont="1" applyFill="1" applyBorder="1" applyAlignment="1" applyProtection="1">
      <alignment horizontal="left" vertical="center"/>
    </xf>
    <xf numFmtId="0" fontId="2" fillId="0" borderId="0" xfId="0" applyFont="1" applyAlignment="1">
      <alignment vertical="center"/>
    </xf>
    <xf numFmtId="164" fontId="16" fillId="5" borderId="1" xfId="0" applyNumberFormat="1" applyFont="1" applyFill="1" applyBorder="1" applyAlignment="1" applyProtection="1">
      <alignment horizontal="right" vertical="center" indent="1"/>
    </xf>
    <xf numFmtId="165" fontId="9" fillId="17" borderId="8" xfId="1" applyNumberFormat="1" applyFont="1" applyFill="1" applyBorder="1" applyAlignment="1" applyProtection="1">
      <alignment horizontal="center" vertical="center"/>
    </xf>
    <xf numFmtId="165" fontId="9" fillId="19" borderId="8" xfId="1" applyNumberFormat="1" applyFont="1" applyFill="1" applyBorder="1" applyAlignment="1" applyProtection="1">
      <alignment horizontal="center" vertical="center"/>
    </xf>
    <xf numFmtId="165" fontId="9" fillId="17" borderId="9" xfId="1" applyNumberFormat="1" applyFont="1" applyFill="1" applyBorder="1" applyAlignment="1" applyProtection="1">
      <alignment horizontal="center" vertical="center"/>
    </xf>
    <xf numFmtId="0" fontId="23" fillId="0" borderId="5" xfId="0" applyFont="1" applyBorder="1" applyAlignment="1" applyProtection="1">
      <alignment horizontal="left" indent="1"/>
      <protection locked="0"/>
    </xf>
    <xf numFmtId="0" fontId="0" fillId="0" borderId="0" xfId="0" applyAlignment="1"/>
    <xf numFmtId="0" fontId="0" fillId="21" borderId="0" xfId="0" applyFill="1" applyAlignment="1"/>
    <xf numFmtId="0" fontId="0" fillId="0" borderId="5" xfId="0" applyBorder="1" applyAlignment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2" borderId="0" xfId="0" applyFill="1" applyAlignme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2" fontId="26" fillId="0" borderId="0" xfId="0" applyNumberFormat="1" applyFont="1" applyAlignment="1">
      <alignment vertical="center" wrapText="1"/>
    </xf>
    <xf numFmtId="0" fontId="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ont="1" applyFill="1" applyBorder="1" applyAlignment="1" applyProtection="1">
      <alignment vertical="center"/>
    </xf>
    <xf numFmtId="0" fontId="17" fillId="20" borderId="1" xfId="0" applyFont="1" applyFill="1" applyBorder="1" applyAlignment="1" applyProtection="1">
      <alignment vertical="center" wrapText="1"/>
    </xf>
    <xf numFmtId="2" fontId="17" fillId="20" borderId="1" xfId="0" applyNumberFormat="1" applyFont="1" applyFill="1" applyBorder="1" applyAlignment="1" applyProtection="1">
      <alignment horizontal="right" vertical="center" wrapText="1" indent="1"/>
    </xf>
    <xf numFmtId="0" fontId="17" fillId="20" borderId="1" xfId="0" applyFont="1" applyFill="1" applyBorder="1" applyAlignment="1" applyProtection="1">
      <alignment horizontal="center" vertical="center" wrapText="1"/>
    </xf>
    <xf numFmtId="0" fontId="0" fillId="7" borderId="1" xfId="0" applyFont="1" applyFill="1" applyBorder="1" applyAlignment="1" applyProtection="1">
      <alignment vertical="center"/>
    </xf>
    <xf numFmtId="0" fontId="1" fillId="2" borderId="1" xfId="0" applyFont="1" applyFill="1" applyBorder="1" applyAlignment="1" applyProtection="1">
      <alignment vertical="center"/>
    </xf>
    <xf numFmtId="0" fontId="0" fillId="18" borderId="1" xfId="0" applyFont="1" applyFill="1" applyBorder="1" applyAlignment="1" applyProtection="1">
      <alignment vertical="center"/>
    </xf>
    <xf numFmtId="0" fontId="21" fillId="4" borderId="1" xfId="0" applyFont="1" applyFill="1" applyBorder="1" applyAlignment="1" applyProtection="1">
      <alignment vertical="center"/>
    </xf>
    <xf numFmtId="0" fontId="2" fillId="4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2" fillId="2" borderId="1" xfId="0" applyNumberFormat="1" applyFont="1" applyFill="1" applyBorder="1" applyAlignment="1" applyProtection="1">
      <alignment horizontal="right" vertical="center" indent="1"/>
    </xf>
    <xf numFmtId="0" fontId="21" fillId="7" borderId="1" xfId="0" applyFont="1" applyFill="1" applyBorder="1" applyAlignment="1" applyProtection="1">
      <alignment vertical="center"/>
    </xf>
    <xf numFmtId="0" fontId="10" fillId="6" borderId="1" xfId="0" applyFont="1" applyFill="1" applyBorder="1" applyAlignment="1" applyProtection="1">
      <alignment horizontal="center" vertical="center"/>
    </xf>
    <xf numFmtId="2" fontId="10" fillId="6" borderId="1" xfId="0" applyNumberFormat="1" applyFont="1" applyFill="1" applyBorder="1" applyAlignment="1" applyProtection="1">
      <alignment horizontal="right" vertical="center" indent="1"/>
    </xf>
    <xf numFmtId="0" fontId="10" fillId="6" borderId="1" xfId="0" applyFont="1" applyFill="1" applyBorder="1" applyAlignment="1" applyProtection="1">
      <alignment horizontal="left" vertical="center"/>
    </xf>
    <xf numFmtId="0" fontId="18" fillId="3" borderId="1" xfId="0" applyFont="1" applyFill="1" applyBorder="1" applyAlignment="1" applyProtection="1">
      <alignment horizontal="center" vertical="center"/>
    </xf>
    <xf numFmtId="2" fontId="18" fillId="3" borderId="1" xfId="0" applyNumberFormat="1" applyFont="1" applyFill="1" applyBorder="1" applyAlignment="1" applyProtection="1">
      <alignment horizontal="center" vertical="center"/>
    </xf>
    <xf numFmtId="0" fontId="18" fillId="3" borderId="1" xfId="0" applyFont="1" applyFill="1" applyBorder="1" applyAlignment="1" applyProtection="1">
      <alignment horizontal="left" vertical="center"/>
    </xf>
    <xf numFmtId="0" fontId="27" fillId="20" borderId="1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1" fontId="0" fillId="0" borderId="0" xfId="0" applyNumberFormat="1" applyFont="1" applyAlignment="1">
      <alignment vertical="center"/>
    </xf>
    <xf numFmtId="0" fontId="0" fillId="0" borderId="0" xfId="0" applyFont="1" applyAlignment="1">
      <alignment horizontal="right" vertical="center"/>
    </xf>
    <xf numFmtId="0" fontId="30" fillId="0" borderId="0" xfId="0" applyFont="1"/>
    <xf numFmtId="0" fontId="31" fillId="0" borderId="0" xfId="0" applyFont="1" applyAlignment="1">
      <alignment horizontal="left" vertical="center"/>
    </xf>
    <xf numFmtId="0" fontId="0" fillId="7" borderId="1" xfId="0" applyFont="1" applyFill="1" applyBorder="1" applyAlignment="1" applyProtection="1">
      <alignment vertical="center" wrapText="1"/>
    </xf>
    <xf numFmtId="1" fontId="16" fillId="8" borderId="1" xfId="0" applyNumberFormat="1" applyFont="1" applyFill="1" applyBorder="1" applyAlignment="1" applyProtection="1">
      <alignment horizontal="right" vertical="center"/>
    </xf>
    <xf numFmtId="0" fontId="18" fillId="20" borderId="3" xfId="0" applyFont="1" applyFill="1" applyBorder="1" applyAlignment="1" applyProtection="1">
      <alignment horizontal="center" vertical="center" wrapText="1"/>
    </xf>
    <xf numFmtId="0" fontId="0" fillId="19" borderId="1" xfId="0" applyFont="1" applyFill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1" fillId="2" borderId="1" xfId="0" applyFont="1" applyFill="1" applyBorder="1" applyAlignment="1" applyProtection="1">
      <alignment vertical="center" wrapText="1"/>
    </xf>
    <xf numFmtId="0" fontId="0" fillId="18" borderId="1" xfId="0" applyFont="1" applyFill="1" applyBorder="1" applyAlignment="1" applyProtection="1">
      <alignment vertical="center" wrapText="1"/>
    </xf>
    <xf numFmtId="0" fontId="21" fillId="4" borderId="1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0" fillId="4" borderId="1" xfId="0" applyFont="1" applyFill="1" applyBorder="1" applyAlignment="1" applyProtection="1">
      <alignment vertical="center" wrapText="1"/>
    </xf>
    <xf numFmtId="0" fontId="21" fillId="7" borderId="1" xfId="0" applyFont="1" applyFill="1" applyBorder="1" applyAlignment="1" applyProtection="1">
      <alignment vertical="center" wrapText="1"/>
    </xf>
    <xf numFmtId="0" fontId="10" fillId="6" borderId="1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 wrapText="1"/>
    </xf>
    <xf numFmtId="0" fontId="18" fillId="3" borderId="1" xfId="0" applyFont="1" applyFill="1" applyBorder="1" applyAlignment="1" applyProtection="1">
      <alignment horizontal="center" vertical="center" wrapText="1"/>
    </xf>
    <xf numFmtId="0" fontId="0" fillId="0" borderId="0" xfId="0" applyFont="1" applyAlignment="1">
      <alignment vertical="center" wrapText="1"/>
    </xf>
    <xf numFmtId="2" fontId="32" fillId="0" borderId="0" xfId="0" applyNumberFormat="1" applyFont="1" applyAlignment="1">
      <alignment horizontal="left" vertical="center"/>
    </xf>
    <xf numFmtId="2" fontId="0" fillId="0" borderId="1" xfId="0" applyNumberFormat="1" applyFont="1" applyBorder="1" applyAlignment="1">
      <alignment horizontal="left" vertical="center"/>
    </xf>
    <xf numFmtId="2" fontId="26" fillId="0" borderId="1" xfId="0" applyNumberFormat="1" applyFont="1" applyBorder="1" applyAlignment="1">
      <alignment horizontal="left" vertical="center"/>
    </xf>
    <xf numFmtId="0" fontId="35" fillId="0" borderId="0" xfId="0" applyFont="1"/>
    <xf numFmtId="0" fontId="0" fillId="0" borderId="1" xfId="0" applyFont="1" applyBorder="1" applyAlignment="1">
      <alignment horizontal="center" vertical="center"/>
    </xf>
    <xf numFmtId="2" fontId="36" fillId="0" borderId="0" xfId="0" applyNumberFormat="1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36" fillId="0" borderId="12" xfId="0" applyNumberFormat="1" applyFon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3" fillId="0" borderId="0" xfId="0" applyFont="1" applyBorder="1" applyAlignment="1" applyProtection="1">
      <alignment horizontal="left"/>
      <protection locked="0"/>
    </xf>
    <xf numFmtId="0" fontId="23" fillId="0" borderId="0" xfId="0" applyFont="1" applyBorder="1" applyAlignment="1" applyProtection="1">
      <alignment horizontal="center"/>
      <protection locked="0"/>
    </xf>
    <xf numFmtId="0" fontId="23" fillId="0" borderId="13" xfId="0" applyFont="1" applyBorder="1" applyAlignment="1" applyProtection="1">
      <alignment horizontal="center"/>
      <protection locked="0"/>
    </xf>
    <xf numFmtId="0" fontId="23" fillId="0" borderId="14" xfId="0" applyFont="1" applyBorder="1" applyAlignment="1" applyProtection="1">
      <alignment horizontal="center"/>
      <protection locked="0"/>
    </xf>
    <xf numFmtId="0" fontId="23" fillId="0" borderId="15" xfId="0" applyFont="1" applyBorder="1" applyAlignment="1" applyProtection="1">
      <alignment horizontal="center"/>
      <protection locked="0"/>
    </xf>
    <xf numFmtId="0" fontId="6" fillId="0" borderId="16" xfId="0" applyFont="1" applyFill="1" applyBorder="1" applyAlignment="1" applyProtection="1">
      <alignment horizontal="center"/>
      <protection locked="0"/>
    </xf>
    <xf numFmtId="166" fontId="0" fillId="0" borderId="0" xfId="0" applyNumberForma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2" fontId="36" fillId="0" borderId="17" xfId="0" applyNumberFormat="1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2" fontId="36" fillId="0" borderId="18" xfId="0" applyNumberFormat="1" applyFont="1" applyFill="1" applyBorder="1" applyAlignment="1">
      <alignment horizontal="center"/>
    </xf>
    <xf numFmtId="0" fontId="0" fillId="0" borderId="0" xfId="0" applyFill="1" applyAlignment="1"/>
    <xf numFmtId="2" fontId="26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 applyProtection="1">
      <alignment vertical="center"/>
    </xf>
    <xf numFmtId="165" fontId="22" fillId="5" borderId="1" xfId="1" applyNumberFormat="1" applyFont="1" applyFill="1" applyBorder="1" applyAlignment="1" applyProtection="1">
      <alignment horizontal="center" vertical="center"/>
    </xf>
    <xf numFmtId="165" fontId="16" fillId="5" borderId="1" xfId="1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20" borderId="1" xfId="0" applyFont="1" applyFill="1" applyBorder="1" applyAlignment="1" applyProtection="1">
      <alignment vertical="center"/>
      <protection hidden="1"/>
    </xf>
    <xf numFmtId="0" fontId="17" fillId="20" borderId="1" xfId="0" applyFont="1" applyFill="1" applyBorder="1" applyAlignment="1" applyProtection="1">
      <alignment vertical="center" wrapText="1"/>
      <protection hidden="1"/>
    </xf>
    <xf numFmtId="2" fontId="17" fillId="20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7" fillId="20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19" borderId="1" xfId="0" applyFont="1" applyFill="1" applyBorder="1" applyAlignment="1" applyProtection="1">
      <alignment vertical="center"/>
      <protection hidden="1"/>
    </xf>
    <xf numFmtId="0" fontId="0" fillId="19" borderId="1" xfId="0" applyFont="1" applyFill="1" applyBorder="1" applyAlignment="1" applyProtection="1">
      <alignment vertical="center" wrapText="1"/>
      <protection hidden="1"/>
    </xf>
    <xf numFmtId="164" fontId="16" fillId="19" borderId="1" xfId="0" applyNumberFormat="1" applyFont="1" applyFill="1" applyBorder="1" applyAlignment="1" applyProtection="1">
      <alignment horizontal="right" vertical="center" indent="1"/>
      <protection hidden="1"/>
    </xf>
    <xf numFmtId="0" fontId="0" fillId="17" borderId="1" xfId="0" applyFont="1" applyFill="1" applyBorder="1" applyAlignment="1" applyProtection="1">
      <alignment vertical="center"/>
      <protection hidden="1"/>
    </xf>
    <xf numFmtId="165" fontId="9" fillId="19" borderId="1" xfId="1" applyNumberFormat="1" applyFont="1" applyFill="1" applyBorder="1" applyAlignment="1" applyProtection="1">
      <alignment horizontal="center" vertical="center"/>
      <protection hidden="1"/>
    </xf>
    <xf numFmtId="0" fontId="0" fillId="7" borderId="1" xfId="0" applyFont="1" applyFill="1" applyBorder="1" applyAlignment="1" applyProtection="1">
      <alignment vertical="center"/>
      <protection hidden="1"/>
    </xf>
    <xf numFmtId="0" fontId="0" fillId="7" borderId="1" xfId="0" applyFont="1" applyFill="1" applyBorder="1" applyAlignment="1" applyProtection="1">
      <alignment vertical="center" wrapText="1"/>
      <protection hidden="1"/>
    </xf>
    <xf numFmtId="164" fontId="16" fillId="5" borderId="1" xfId="0" applyNumberFormat="1" applyFont="1" applyFill="1" applyBorder="1" applyAlignment="1" applyProtection="1">
      <alignment horizontal="right" vertical="center" indent="1"/>
      <protection hidden="1"/>
    </xf>
    <xf numFmtId="0" fontId="18" fillId="17" borderId="1" xfId="0" applyFont="1" applyFill="1" applyBorder="1" applyAlignment="1" applyProtection="1">
      <alignment horizontal="left" vertical="center"/>
      <protection hidden="1"/>
    </xf>
    <xf numFmtId="165" fontId="18" fillId="17" borderId="1" xfId="1" applyNumberFormat="1" applyFont="1" applyFill="1" applyBorder="1" applyAlignment="1" applyProtection="1">
      <alignment horizontal="center" vertical="center"/>
      <protection hidden="1"/>
    </xf>
    <xf numFmtId="2" fontId="0" fillId="0" borderId="1" xfId="0" applyNumberFormat="1" applyFont="1" applyBorder="1" applyAlignment="1" applyProtection="1">
      <alignment horizontal="left" vertical="center"/>
      <protection hidden="1"/>
    </xf>
    <xf numFmtId="2" fontId="26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Fon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2" fontId="16" fillId="2" borderId="1" xfId="0" applyNumberFormat="1" applyFont="1" applyFill="1" applyBorder="1" applyAlignment="1" applyProtection="1">
      <alignment horizontal="right" vertical="center" indent="1"/>
      <protection hidden="1"/>
    </xf>
    <xf numFmtId="2" fontId="16" fillId="17" borderId="1" xfId="0" applyNumberFormat="1" applyFont="1" applyFill="1" applyBorder="1" applyAlignment="1" applyProtection="1">
      <alignment horizontal="right" vertical="center" indent="1"/>
      <protection hidden="1"/>
    </xf>
    <xf numFmtId="165" fontId="16" fillId="17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18" borderId="1" xfId="0" applyFont="1" applyFill="1" applyBorder="1" applyAlignment="1" applyProtection="1">
      <alignment vertical="center"/>
      <protection hidden="1"/>
    </xf>
    <xf numFmtId="0" fontId="0" fillId="18" borderId="1" xfId="0" applyFont="1" applyFill="1" applyBorder="1" applyAlignment="1" applyProtection="1">
      <alignment vertical="center" wrapText="1"/>
      <protection hidden="1"/>
    </xf>
    <xf numFmtId="2" fontId="16" fillId="18" borderId="1" xfId="0" applyNumberFormat="1" applyFont="1" applyFill="1" applyBorder="1" applyAlignment="1" applyProtection="1">
      <alignment horizontal="right" vertical="center" indent="1"/>
      <protection hidden="1"/>
    </xf>
    <xf numFmtId="165" fontId="18" fillId="18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1" xfId="0" applyNumberFormat="1" applyFont="1" applyBorder="1" applyAlignment="1" applyProtection="1">
      <alignment horizontal="left" vertical="center"/>
      <protection hidden="1"/>
    </xf>
    <xf numFmtId="0" fontId="0" fillId="0" borderId="0" xfId="0" applyFont="1" applyAlignment="1" applyProtection="1">
      <alignment horizontal="right" vertical="center"/>
      <protection hidden="1"/>
    </xf>
    <xf numFmtId="0" fontId="21" fillId="4" borderId="1" xfId="0" applyFont="1" applyFill="1" applyBorder="1" applyAlignment="1" applyProtection="1">
      <alignment vertical="center"/>
      <protection hidden="1"/>
    </xf>
    <xf numFmtId="0" fontId="21" fillId="4" borderId="1" xfId="0" applyFont="1" applyFill="1" applyBorder="1" applyAlignment="1" applyProtection="1">
      <alignment vertical="center" wrapText="1"/>
      <protection hidden="1"/>
    </xf>
    <xf numFmtId="2" fontId="22" fillId="5" borderId="1" xfId="0" applyNumberFormat="1" applyFont="1" applyFill="1" applyBorder="1" applyAlignment="1" applyProtection="1">
      <alignment horizontal="right" vertical="center" indent="1"/>
      <protection hidden="1"/>
    </xf>
    <xf numFmtId="0" fontId="22" fillId="17" borderId="1" xfId="0" applyFont="1" applyFill="1" applyBorder="1" applyAlignment="1" applyProtection="1">
      <alignment horizontal="left" vertical="center"/>
      <protection hidden="1"/>
    </xf>
    <xf numFmtId="165" fontId="22" fillId="5" borderId="1" xfId="1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4" borderId="1" xfId="0" applyFont="1" applyFill="1" applyBorder="1" applyAlignment="1" applyProtection="1">
      <alignment vertical="center"/>
      <protection hidden="1"/>
    </xf>
    <xf numFmtId="0" fontId="2" fillId="4" borderId="1" xfId="0" applyFont="1" applyFill="1" applyBorder="1" applyAlignment="1" applyProtection="1">
      <alignment vertical="center" wrapText="1"/>
      <protection hidden="1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0" fontId="16" fillId="17" borderId="1" xfId="0" applyFont="1" applyFill="1" applyBorder="1" applyAlignment="1" applyProtection="1">
      <alignment horizontal="left" vertical="center"/>
      <protection hidden="1"/>
    </xf>
    <xf numFmtId="165" fontId="16" fillId="5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ont="1" applyFill="1" applyBorder="1" applyAlignment="1" applyProtection="1">
      <alignment vertical="center"/>
      <protection hidden="1"/>
    </xf>
    <xf numFmtId="0" fontId="0" fillId="4" borderId="1" xfId="0" applyFont="1" applyFill="1" applyBorder="1" applyAlignment="1" applyProtection="1">
      <alignment vertical="center" wrapText="1"/>
      <protection hidden="1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vertic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1" fillId="0" borderId="0" xfId="0" applyFont="1" applyBorder="1" applyAlignment="1">
      <alignment vertical="center"/>
    </xf>
    <xf numFmtId="2" fontId="6" fillId="10" borderId="19" xfId="0" applyNumberFormat="1" applyFont="1" applyFill="1" applyBorder="1" applyAlignment="1" applyProtection="1">
      <alignment vertical="center"/>
    </xf>
    <xf numFmtId="0" fontId="11" fillId="0" borderId="0" xfId="0" applyFont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43" fillId="26" borderId="21" xfId="0" applyFont="1" applyFill="1" applyBorder="1" applyAlignment="1">
      <alignment horizontal="center"/>
    </xf>
    <xf numFmtId="0" fontId="43" fillId="26" borderId="21" xfId="0" applyFont="1" applyFill="1" applyBorder="1" applyAlignment="1">
      <alignment horizontal="center" wrapText="1"/>
    </xf>
    <xf numFmtId="0" fontId="43" fillId="26" borderId="21" xfId="0" applyFont="1" applyFill="1" applyBorder="1" applyAlignment="1">
      <alignment horizontal="center" vertical="center" wrapText="1"/>
    </xf>
    <xf numFmtId="0" fontId="43" fillId="26" borderId="20" xfId="0" applyFont="1" applyFill="1" applyBorder="1" applyAlignment="1">
      <alignment horizontal="center" vertical="center" wrapText="1"/>
    </xf>
    <xf numFmtId="0" fontId="1" fillId="27" borderId="21" xfId="0" applyFont="1" applyFill="1" applyBorder="1" applyAlignment="1">
      <alignment horizontal="center"/>
    </xf>
    <xf numFmtId="0" fontId="0" fillId="27" borderId="21" xfId="0" applyFont="1" applyFill="1" applyBorder="1" applyAlignment="1">
      <alignment horizontal="center"/>
    </xf>
    <xf numFmtId="0" fontId="0" fillId="27" borderId="21" xfId="0" applyFont="1" applyFill="1" applyBorder="1" applyAlignment="1">
      <alignment horizontal="center" vertical="center"/>
    </xf>
    <xf numFmtId="0" fontId="0" fillId="27" borderId="20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40" fillId="23" borderId="21" xfId="3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40" fillId="23" borderId="10" xfId="3" applyFont="1" applyFill="1" applyBorder="1" applyAlignment="1">
      <alignment horizontal="center"/>
    </xf>
    <xf numFmtId="0" fontId="40" fillId="23" borderId="21" xfId="3" applyBorder="1" applyAlignment="1">
      <alignment horizontal="center"/>
    </xf>
    <xf numFmtId="0" fontId="0" fillId="0" borderId="1" xfId="0" applyFont="1" applyBorder="1" applyAlignment="1" applyProtection="1">
      <alignment horizontal="left" vertical="center"/>
      <protection hidden="1"/>
    </xf>
    <xf numFmtId="0" fontId="18" fillId="0" borderId="1" xfId="0" applyFont="1" applyBorder="1" applyAlignment="1">
      <alignment horizontal="left" vertical="center"/>
    </xf>
    <xf numFmtId="2" fontId="18" fillId="0" borderId="1" xfId="0" applyNumberFormat="1" applyFont="1" applyBorder="1" applyAlignment="1">
      <alignment horizontal="left" vertical="center"/>
    </xf>
    <xf numFmtId="49" fontId="48" fillId="19" borderId="1" xfId="0" applyNumberFormat="1" applyFont="1" applyFill="1" applyBorder="1" applyAlignment="1" applyProtection="1">
      <alignment horizontal="center" vertical="center"/>
      <protection locked="0"/>
    </xf>
    <xf numFmtId="164" fontId="22" fillId="5" borderId="1" xfId="0" applyNumberFormat="1" applyFont="1" applyFill="1" applyBorder="1" applyAlignment="1" applyProtection="1">
      <alignment horizontal="right" vertical="center" indent="1"/>
    </xf>
    <xf numFmtId="0" fontId="50" fillId="7" borderId="1" xfId="0" applyFont="1" applyFill="1" applyBorder="1" applyAlignment="1" applyProtection="1">
      <alignment vertical="center" wrapText="1"/>
    </xf>
    <xf numFmtId="2" fontId="0" fillId="0" borderId="3" xfId="0" applyNumberFormat="1" applyFont="1" applyBorder="1" applyAlignment="1">
      <alignment horizontal="right" vertical="center" indent="1"/>
    </xf>
    <xf numFmtId="0" fontId="0" fillId="0" borderId="3" xfId="0" applyFont="1" applyBorder="1" applyAlignment="1">
      <alignment vertical="center"/>
    </xf>
    <xf numFmtId="0" fontId="0" fillId="0" borderId="4" xfId="0" applyFont="1" applyBorder="1" applyAlignment="1">
      <alignment horizontal="center" vertical="center"/>
    </xf>
    <xf numFmtId="2" fontId="6" fillId="9" borderId="22" xfId="0" applyNumberFormat="1" applyFont="1" applyFill="1" applyBorder="1" applyAlignment="1" applyProtection="1">
      <alignment horizontal="left" vertical="center"/>
    </xf>
    <xf numFmtId="0" fontId="0" fillId="0" borderId="8" xfId="0" applyFont="1" applyBorder="1" applyAlignment="1" applyProtection="1">
      <alignment horizontal="center" vertical="center"/>
    </xf>
    <xf numFmtId="164" fontId="0" fillId="0" borderId="19" xfId="0" applyNumberFormat="1" applyFont="1" applyBorder="1" applyAlignment="1">
      <alignment horizontal="left" vertical="center"/>
    </xf>
    <xf numFmtId="0" fontId="41" fillId="24" borderId="24" xfId="4" applyBorder="1" applyAlignment="1" applyProtection="1">
      <alignment vertical="center"/>
    </xf>
    <xf numFmtId="0" fontId="0" fillId="18" borderId="20" xfId="0" applyFont="1" applyFill="1" applyBorder="1" applyAlignment="1" applyProtection="1">
      <alignment vertical="center" wrapText="1"/>
    </xf>
    <xf numFmtId="2" fontId="0" fillId="0" borderId="20" xfId="0" applyNumberFormat="1" applyFont="1" applyBorder="1" applyAlignment="1" applyProtection="1">
      <alignment horizontal="right" vertical="center" indent="1"/>
    </xf>
    <xf numFmtId="0" fontId="0" fillId="0" borderId="20" xfId="0" applyFont="1" applyBorder="1" applyAlignment="1" applyProtection="1">
      <alignment vertical="center"/>
    </xf>
    <xf numFmtId="0" fontId="0" fillId="0" borderId="25" xfId="0" applyFont="1" applyBorder="1" applyAlignment="1" applyProtection="1">
      <alignment horizontal="center" vertical="center"/>
    </xf>
    <xf numFmtId="0" fontId="18" fillId="20" borderId="1" xfId="0" applyFont="1" applyFill="1" applyBorder="1" applyAlignment="1" applyProtection="1">
      <alignment horizontal="left" vertical="center"/>
    </xf>
    <xf numFmtId="0" fontId="0" fillId="17" borderId="1" xfId="0" applyFont="1" applyFill="1" applyBorder="1" applyAlignment="1" applyProtection="1">
      <alignment horizontal="left" vertical="center"/>
    </xf>
    <xf numFmtId="0" fontId="18" fillId="20" borderId="3" xfId="0" applyFont="1" applyFill="1" applyBorder="1" applyAlignment="1" applyProtection="1">
      <alignment horizontal="left" vertical="center"/>
    </xf>
    <xf numFmtId="0" fontId="0" fillId="19" borderId="22" xfId="0" applyFont="1" applyFill="1" applyBorder="1" applyAlignment="1" applyProtection="1">
      <alignment vertical="center"/>
    </xf>
    <xf numFmtId="0" fontId="18" fillId="20" borderId="8" xfId="0" applyFont="1" applyFill="1" applyBorder="1" applyAlignment="1" applyProtection="1">
      <alignment horizontal="center" vertical="center"/>
    </xf>
    <xf numFmtId="0" fontId="0" fillId="4" borderId="22" xfId="0" applyFont="1" applyFill="1" applyBorder="1" applyAlignment="1" applyProtection="1">
      <alignment vertical="center"/>
      <protection hidden="1"/>
    </xf>
    <xf numFmtId="165" fontId="16" fillId="8" borderId="8" xfId="1" applyNumberFormat="1" applyFont="1" applyFill="1" applyBorder="1" applyAlignment="1" applyProtection="1">
      <alignment horizontal="right" vertical="center" indent="1"/>
    </xf>
    <xf numFmtId="0" fontId="0" fillId="18" borderId="22" xfId="0" applyFont="1" applyFill="1" applyBorder="1" applyAlignment="1" applyProtection="1">
      <alignment vertical="center"/>
    </xf>
    <xf numFmtId="0" fontId="0" fillId="4" borderId="22" xfId="0" applyFont="1" applyFill="1" applyBorder="1" applyAlignment="1" applyProtection="1">
      <alignment vertical="center"/>
    </xf>
    <xf numFmtId="0" fontId="0" fillId="19" borderId="23" xfId="0" applyFont="1" applyFill="1" applyBorder="1" applyAlignment="1" applyProtection="1">
      <alignment vertical="center"/>
    </xf>
    <xf numFmtId="0" fontId="0" fillId="19" borderId="6" xfId="0" applyFont="1" applyFill="1" applyBorder="1" applyAlignment="1" applyProtection="1">
      <alignment vertical="center" wrapText="1"/>
    </xf>
    <xf numFmtId="2" fontId="16" fillId="19" borderId="6" xfId="0" applyNumberFormat="1" applyFont="1" applyFill="1" applyBorder="1" applyAlignment="1" applyProtection="1">
      <alignment horizontal="right" vertical="center" indent="1"/>
    </xf>
    <xf numFmtId="0" fontId="0" fillId="17" borderId="6" xfId="0" applyFont="1" applyFill="1" applyBorder="1" applyAlignment="1" applyProtection="1">
      <alignment vertical="center"/>
    </xf>
    <xf numFmtId="0" fontId="42" fillId="25" borderId="10" xfId="5" applyBorder="1" applyAlignment="1">
      <alignment horizontal="center"/>
    </xf>
    <xf numFmtId="0" fontId="14" fillId="19" borderId="1" xfId="2" applyFill="1" applyBorder="1" applyAlignment="1" applyProtection="1">
      <alignment vertical="center" wrapText="1"/>
    </xf>
    <xf numFmtId="0" fontId="44" fillId="5" borderId="26" xfId="0" applyFont="1" applyFill="1" applyBorder="1" applyAlignment="1" applyProtection="1">
      <alignment horizontal="left" vertical="center"/>
    </xf>
    <xf numFmtId="0" fontId="44" fillId="5" borderId="27" xfId="0" applyFont="1" applyFill="1" applyBorder="1" applyAlignment="1" applyProtection="1">
      <alignment horizontal="left" vertical="center"/>
    </xf>
    <xf numFmtId="0" fontId="27" fillId="20" borderId="1" xfId="0" applyFont="1" applyFill="1" applyBorder="1" applyAlignment="1" applyProtection="1">
      <alignment horizontal="left" vertical="center" wrapText="1"/>
    </xf>
    <xf numFmtId="2" fontId="49" fillId="0" borderId="16" xfId="0" applyNumberFormat="1" applyFont="1" applyFill="1" applyBorder="1" applyAlignment="1" applyProtection="1">
      <alignment horizontal="left" vertical="center"/>
    </xf>
    <xf numFmtId="2" fontId="49" fillId="0" borderId="0" xfId="0" applyNumberFormat="1" applyFont="1" applyFill="1" applyBorder="1" applyAlignment="1" applyProtection="1">
      <alignment horizontal="left" vertical="center"/>
    </xf>
    <xf numFmtId="0" fontId="0" fillId="1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</cellXfs>
  <cellStyles count="6">
    <cellStyle name="Bad" xfId="4" builtinId="27"/>
    <cellStyle name="Good" xfId="3" builtinId="26"/>
    <cellStyle name="Hyperlink" xfId="2" builtinId="8"/>
    <cellStyle name="Neutral" xfId="5" builtinId="28"/>
    <cellStyle name="Normal" xfId="0" builtinId="0"/>
    <cellStyle name="Percent" xfId="1" builtinId="5"/>
  </cellStyles>
  <dxfs count="13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00FF00"/>
      <color rgb="FF33CC33"/>
      <color rgb="FF0000FF"/>
      <color rgb="FF00FFFF"/>
      <color rgb="FFFF3300"/>
      <color rgb="FFFFFF99"/>
      <color rgb="FFFFFFCC"/>
      <color rgb="FF969696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'Calculation Sheet'!$K$18:$K$20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Clamp
(VIN Rising)</c:v>
                </c:pt>
              </c:strCache>
            </c:strRef>
          </c:cat>
          <c:val>
            <c:numRef>
              <c:f>'Calculation Sheet'!$J$18:$J$20</c:f>
              <c:numCache>
                <c:formatCode>0.00</c:formatCode>
                <c:ptCount val="3"/>
                <c:pt idx="0">
                  <c:v>3.9061224489795916</c:v>
                </c:pt>
                <c:pt idx="1">
                  <c:v>4.2612244897959179</c:v>
                </c:pt>
                <c:pt idx="2" formatCode="General">
                  <c:v>13.7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088320"/>
        <c:axId val="128094208"/>
      </c:lineChart>
      <c:catAx>
        <c:axId val="128088320"/>
        <c:scaling>
          <c:orientation val="minMax"/>
        </c:scaling>
        <c:delete val="1"/>
        <c:axPos val="b"/>
        <c:majorGridlines/>
        <c:minorGridlines/>
        <c:majorTickMark val="out"/>
        <c:minorTickMark val="none"/>
        <c:tickLblPos val="nextTo"/>
        <c:crossAx val="128094208"/>
        <c:crosses val="autoZero"/>
        <c:auto val="0"/>
        <c:lblAlgn val="ctr"/>
        <c:lblOffset val="100"/>
        <c:noMultiLvlLbl val="0"/>
      </c:catAx>
      <c:valAx>
        <c:axId val="1280942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808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'Calculation Sheet'!$K$35:$K$36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Sheet'!$J$35:$J$36</c:f>
              <c:numCache>
                <c:formatCode>0.00</c:formatCode>
                <c:ptCount val="2"/>
                <c:pt idx="0" formatCode="General">
                  <c:v>0.50769230769230766</c:v>
                </c:pt>
                <c:pt idx="1">
                  <c:v>3.9538943248532288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507904"/>
        <c:axId val="128509440"/>
      </c:lineChart>
      <c:catAx>
        <c:axId val="128507904"/>
        <c:scaling>
          <c:orientation val="minMax"/>
        </c:scaling>
        <c:delete val="1"/>
        <c:axPos val="b"/>
        <c:majorGridlines/>
        <c:minorGridlines/>
        <c:majorTickMark val="out"/>
        <c:minorTickMark val="none"/>
        <c:tickLblPos val="nextTo"/>
        <c:crossAx val="128509440"/>
        <c:crosses val="autoZero"/>
        <c:auto val="0"/>
        <c:lblAlgn val="ctr"/>
        <c:lblOffset val="100"/>
        <c:noMultiLvlLbl val="0"/>
      </c:catAx>
      <c:valAx>
        <c:axId val="12850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507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49156289271526E-2"/>
          <c:y val="4.7291727471401007E-2"/>
          <c:w val="0.86730704081057419"/>
          <c:h val="0.82909287641393248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'Calculation Sheet'!$K$26:$K$28</c:f>
            </c:strRef>
          </c:cat>
          <c:val>
            <c:numRef>
              <c:f>'Calculation Sheet'!$J$26:$J$28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0576"/>
        <c:axId val="129482112"/>
      </c:lineChart>
      <c:catAx>
        <c:axId val="129480576"/>
        <c:scaling>
          <c:orientation val="minMax"/>
        </c:scaling>
        <c:delete val="1"/>
        <c:axPos val="b"/>
        <c:majorGridlines/>
        <c:minorGridlines/>
        <c:majorTickMark val="out"/>
        <c:minorTickMark val="none"/>
        <c:tickLblPos val="nextTo"/>
        <c:crossAx val="129482112"/>
        <c:crosses val="autoZero"/>
        <c:auto val="0"/>
        <c:lblAlgn val="ctr"/>
        <c:lblOffset val="100"/>
        <c:noMultiLvlLbl val="0"/>
      </c:catAx>
      <c:valAx>
        <c:axId val="1294821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9480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layout>
        <c:manualLayout>
          <c:xMode val="edge"/>
          <c:yMode val="edge"/>
          <c:x val="0.22998655195363296"/>
          <c:y val="0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90427794390517"/>
          <c:y val="6.7561626812458503E-2"/>
          <c:w val="0.73209137791280654"/>
          <c:h val="0.73184930724149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Plot'!$B$3:$B$25</c:f>
              <c:numCache>
                <c:formatCode>0.00</c:formatCode>
                <c:ptCount val="23"/>
                <c:pt idx="4">
                  <c:v>10000</c:v>
                </c:pt>
                <c:pt idx="5">
                  <c:v>2995.8713000000002</c:v>
                </c:pt>
                <c:pt idx="6">
                  <c:v>663.55936299999996</c:v>
                </c:pt>
                <c:pt idx="7">
                  <c:v>341.31643000000003</c:v>
                </c:pt>
                <c:pt idx="8">
                  <c:v>182.82688250000001</c:v>
                </c:pt>
                <c:pt idx="9">
                  <c:v>125.75094249999999</c:v>
                </c:pt>
                <c:pt idx="10">
                  <c:v>74.719752499999998</c:v>
                </c:pt>
                <c:pt idx="11">
                  <c:v>47.603325000000005</c:v>
                </c:pt>
                <c:pt idx="12">
                  <c:v>32.661877499999996</c:v>
                </c:pt>
                <c:pt idx="13">
                  <c:v>23.435396300000001</c:v>
                </c:pt>
                <c:pt idx="14">
                  <c:v>17.874555000000001</c:v>
                </c:pt>
                <c:pt idx="15">
                  <c:v>9.6214149999999989</c:v>
                </c:pt>
                <c:pt idx="16">
                  <c:v>5.6002910000000004</c:v>
                </c:pt>
                <c:pt idx="17">
                  <c:v>3.6755021999999999</c:v>
                </c:pt>
                <c:pt idx="18">
                  <c:v>2.6514305999999999</c:v>
                </c:pt>
                <c:pt idx="19">
                  <c:v>2.0066746000000002</c:v>
                </c:pt>
                <c:pt idx="20">
                  <c:v>1.5981430000000001</c:v>
                </c:pt>
                <c:pt idx="21">
                  <c:v>1.2747162000000001</c:v>
                </c:pt>
                <c:pt idx="22">
                  <c:v>1.0772005999999998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Plot'!$C$3:$C$25</c:f>
              <c:numCache>
                <c:formatCode>General</c:formatCode>
                <c:ptCount val="23"/>
                <c:pt idx="3" formatCode="0.00">
                  <c:v>10000</c:v>
                </c:pt>
                <c:pt idx="4" formatCode="0.00">
                  <c:v>570.83839499999999</c:v>
                </c:pt>
                <c:pt idx="5" formatCode="0.00">
                  <c:v>232.87166000000002</c:v>
                </c:pt>
                <c:pt idx="6" formatCode="0.00">
                  <c:v>124.78810999999999</c:v>
                </c:pt>
                <c:pt idx="7" formatCode="0.00">
                  <c:v>82.305753800000005</c:v>
                </c:pt>
                <c:pt idx="8" formatCode="0.00">
                  <c:v>56.522955000000003</c:v>
                </c:pt>
                <c:pt idx="9" formatCode="0.00">
                  <c:v>42.163403699999996</c:v>
                </c:pt>
                <c:pt idx="10" formatCode="0.00">
                  <c:v>23.976691500000001</c:v>
                </c:pt>
                <c:pt idx="11" formatCode="0.00">
                  <c:v>16.014054000000002</c:v>
                </c:pt>
                <c:pt idx="12" formatCode="0.00">
                  <c:v>10.25703875</c:v>
                </c:pt>
                <c:pt idx="13" formatCode="0.00">
                  <c:v>6.3458949999999996</c:v>
                </c:pt>
                <c:pt idx="14" formatCode="0.00">
                  <c:v>5.03228075</c:v>
                </c:pt>
                <c:pt idx="15" formatCode="0.00">
                  <c:v>3.0121934000000001</c:v>
                </c:pt>
                <c:pt idx="16" formatCode="0.00">
                  <c:v>1.9894245999999998</c:v>
                </c:pt>
                <c:pt idx="17" formatCode="0.00">
                  <c:v>1.5958246</c:v>
                </c:pt>
                <c:pt idx="18" formatCode="0.00">
                  <c:v>1.2393190000000001</c:v>
                </c:pt>
                <c:pt idx="19" formatCode="0.00">
                  <c:v>0.94273899999999999</c:v>
                </c:pt>
                <c:pt idx="20" formatCode="0.00">
                  <c:v>0.80745980000000006</c:v>
                </c:pt>
                <c:pt idx="21" formatCode="0.00">
                  <c:v>0.69636215000000001</c:v>
                </c:pt>
                <c:pt idx="22" formatCode="0.00">
                  <c:v>0.59883494999999998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82560"/>
        <c:axId val="128897024"/>
      </c:scatterChart>
      <c:scatterChart>
        <c:scatterStyle val="lineMarker"/>
        <c:varyColors val="0"/>
        <c:ser>
          <c:idx val="4"/>
          <c:order val="4"/>
          <c:tx>
            <c:v>Calculated Point</c:v>
          </c:tx>
          <c:spPr>
            <a:ln w="12700" cap="sq">
              <a:solidFill>
                <a:srgbClr val="00FFFF"/>
              </a:solidFill>
            </a:ln>
          </c:spPr>
          <c:marker>
            <c:symbol val="square"/>
            <c:size val="10"/>
            <c:spPr>
              <a:solidFill>
                <a:srgbClr val="00FFFF"/>
              </a:solidFill>
              <a:ln w="12700">
                <a:solidFill>
                  <a:srgbClr val="00FFFF"/>
                </a:solidFill>
              </a:ln>
            </c:spPr>
          </c:marker>
          <c:dLbls>
            <c:dLbl>
              <c:idx val="0"/>
              <c:layout>
                <c:manualLayout>
                  <c:x val="-0.14064201195480092"/>
                  <c:y val="-3.254588517448833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'Thermal Shutdown Limit Plot'!$B$29</c:f>
              <c:numCache>
                <c:formatCode>0.00</c:formatCode>
                <c:ptCount val="1"/>
                <c:pt idx="0">
                  <c:v>10.610769230769229</c:v>
                </c:pt>
              </c:numCache>
            </c:numRef>
          </c:xVal>
          <c:yVal>
            <c:numRef>
              <c:f>'Thermal Shutdown Limit Plot'!$C$29</c:f>
              <c:numCache>
                <c:formatCode>0.00</c:formatCode>
                <c:ptCount val="1"/>
                <c:pt idx="0">
                  <c:v>0.26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82560"/>
        <c:axId val="128897024"/>
      </c:scatterChart>
      <c:scatterChart>
        <c:scatterStyle val="smoothMarker"/>
        <c:varyColors val="0"/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Plot'!$D$3:$D$25</c:f>
              <c:numCache>
                <c:formatCode>0.00</c:formatCode>
                <c:ptCount val="23"/>
                <c:pt idx="1">
                  <c:v>10000</c:v>
                </c:pt>
                <c:pt idx="2">
                  <c:v>655.228025</c:v>
                </c:pt>
                <c:pt idx="3">
                  <c:v>154.50472500000001</c:v>
                </c:pt>
                <c:pt idx="4">
                  <c:v>84.796535000000006</c:v>
                </c:pt>
                <c:pt idx="5">
                  <c:v>52.843837499999999</c:v>
                </c:pt>
                <c:pt idx="6">
                  <c:v>30.773124999999997</c:v>
                </c:pt>
                <c:pt idx="7">
                  <c:v>22.688098799999999</c:v>
                </c:pt>
                <c:pt idx="8">
                  <c:v>14.948829</c:v>
                </c:pt>
                <c:pt idx="9">
                  <c:v>11.496589</c:v>
                </c:pt>
                <c:pt idx="10">
                  <c:v>6.4930750000000002</c:v>
                </c:pt>
                <c:pt idx="11">
                  <c:v>4.1210953999999997</c:v>
                </c:pt>
                <c:pt idx="12">
                  <c:v>2.8188929999999996</c:v>
                </c:pt>
                <c:pt idx="13">
                  <c:v>2.1710429499999999</c:v>
                </c:pt>
                <c:pt idx="14">
                  <c:v>1.7084022000000001</c:v>
                </c:pt>
                <c:pt idx="15">
                  <c:v>1.1080586000000001</c:v>
                </c:pt>
                <c:pt idx="16">
                  <c:v>0.79214814999999994</c:v>
                </c:pt>
                <c:pt idx="17">
                  <c:v>0.6570878</c:v>
                </c:pt>
                <c:pt idx="18">
                  <c:v>0.53989175</c:v>
                </c:pt>
                <c:pt idx="19">
                  <c:v>0.45751454999999996</c:v>
                </c:pt>
                <c:pt idx="20">
                  <c:v>0.3899262</c:v>
                </c:pt>
                <c:pt idx="21">
                  <c:v>0.34534100000000001</c:v>
                </c:pt>
                <c:pt idx="22">
                  <c:v>0.30465775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>
              <a:solidFill>
                <a:srgbClr val="FF330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Plot'!$E$3:$E$25</c:f>
              <c:numCache>
                <c:formatCode>0.00</c:formatCode>
                <c:ptCount val="23"/>
                <c:pt idx="0">
                  <c:v>10000</c:v>
                </c:pt>
                <c:pt idx="1">
                  <c:v>155.9617044</c:v>
                </c:pt>
                <c:pt idx="2">
                  <c:v>54.852824750000003</c:v>
                </c:pt>
                <c:pt idx="3">
                  <c:v>27.434206749999998</c:v>
                </c:pt>
                <c:pt idx="4">
                  <c:v>16.567898</c:v>
                </c:pt>
                <c:pt idx="5">
                  <c:v>10.186230500000001</c:v>
                </c:pt>
                <c:pt idx="6">
                  <c:v>6.0791437500000001</c:v>
                </c:pt>
                <c:pt idx="7">
                  <c:v>4.0288073999999998</c:v>
                </c:pt>
                <c:pt idx="8">
                  <c:v>2.9109050000000001</c:v>
                </c:pt>
                <c:pt idx="9">
                  <c:v>2.2499137999999999</c:v>
                </c:pt>
                <c:pt idx="10">
                  <c:v>1.5131305500000001</c:v>
                </c:pt>
                <c:pt idx="11">
                  <c:v>1.1214251</c:v>
                </c:pt>
                <c:pt idx="12">
                  <c:v>0.86391300000000004</c:v>
                </c:pt>
                <c:pt idx="13">
                  <c:v>0.73755095000000004</c:v>
                </c:pt>
                <c:pt idx="14">
                  <c:v>0.62530934999999999</c:v>
                </c:pt>
                <c:pt idx="15">
                  <c:v>0.45868734999999999</c:v>
                </c:pt>
                <c:pt idx="16">
                  <c:v>0.36060215000000001</c:v>
                </c:pt>
                <c:pt idx="17">
                  <c:v>0.28772419999999999</c:v>
                </c:pt>
                <c:pt idx="18">
                  <c:v>0.24528175000000002</c:v>
                </c:pt>
                <c:pt idx="19">
                  <c:v>0.21167660000000002</c:v>
                </c:pt>
                <c:pt idx="20">
                  <c:v>0.1857066</c:v>
                </c:pt>
                <c:pt idx="21">
                  <c:v>0.1644362</c:v>
                </c:pt>
                <c:pt idx="22">
                  <c:v>0.14962619999999999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00480"/>
        <c:axId val="128898944"/>
      </c:scatterChart>
      <c:valAx>
        <c:axId val="128882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38774225083347197"/>
              <c:y val="0.84253686060802468"/>
            </c:manualLayout>
          </c:layout>
          <c:overlay val="0"/>
        </c:title>
        <c:numFmt formatCode="@" sourceLinked="0"/>
        <c:majorTickMark val="out"/>
        <c:minorTickMark val="in"/>
        <c:tickLblPos val="nextTo"/>
        <c:crossAx val="128897024"/>
        <c:crossesAt val="-1"/>
        <c:crossBetween val="midCat"/>
        <c:majorUnit val="10"/>
      </c:valAx>
      <c:valAx>
        <c:axId val="128897024"/>
        <c:scaling>
          <c:logBase val="10"/>
          <c:orientation val="minMax"/>
          <c:max val="100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Thermal Shutdown Time (ms)</a:t>
                </a:r>
              </a:p>
            </c:rich>
          </c:tx>
          <c:layout>
            <c:manualLayout>
              <c:xMode val="edge"/>
              <c:yMode val="edge"/>
              <c:x val="8.7477386060916627E-3"/>
              <c:y val="0.19754037518220496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crossAx val="128882560"/>
        <c:crossesAt val="-0.05"/>
        <c:crossBetween val="midCat"/>
      </c:valAx>
      <c:valAx>
        <c:axId val="128898944"/>
        <c:scaling>
          <c:logBase val="10"/>
          <c:orientation val="minMax"/>
          <c:max val="100000"/>
          <c:min val="0.1"/>
        </c:scaling>
        <c:delete val="1"/>
        <c:axPos val="r"/>
        <c:numFmt formatCode="General" sourceLinked="1"/>
        <c:majorTickMark val="out"/>
        <c:minorTickMark val="none"/>
        <c:tickLblPos val="nextTo"/>
        <c:crossAx val="128900480"/>
        <c:crosses val="max"/>
        <c:crossBetween val="midCat"/>
        <c:minorUnit val="10"/>
      </c:valAx>
      <c:valAx>
        <c:axId val="128900480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88989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4678374822524827"/>
          <c:y val="0.102828490783734"/>
          <c:w val="0.15144260481050986"/>
          <c:h val="0.1804204743806273"/>
        </c:manualLayout>
      </c:layout>
      <c:overlay val="1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266699</xdr:colOff>
      <xdr:row>15</xdr:row>
      <xdr:rowOff>51708</xdr:rowOff>
    </xdr:from>
    <xdr:to>
      <xdr:col>10</xdr:col>
      <xdr:colOff>2162174</xdr:colOff>
      <xdr:row>23</xdr:row>
      <xdr:rowOff>160565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287832</xdr:colOff>
      <xdr:row>33</xdr:row>
      <xdr:rowOff>58785</xdr:rowOff>
    </xdr:from>
    <xdr:to>
      <xdr:col>11</xdr:col>
      <xdr:colOff>0</xdr:colOff>
      <xdr:row>41</xdr:row>
      <xdr:rowOff>102327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266700</xdr:colOff>
      <xdr:row>0</xdr:row>
      <xdr:rowOff>66675</xdr:rowOff>
    </xdr:from>
    <xdr:to>
      <xdr:col>11</xdr:col>
      <xdr:colOff>0</xdr:colOff>
      <xdr:row>11</xdr:row>
      <xdr:rowOff>170571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10725" y="66675"/>
          <a:ext cx="4657725" cy="3001737"/>
        </a:xfrm>
        <a:prstGeom prst="rect">
          <a:avLst/>
        </a:prstGeom>
      </xdr:spPr>
    </xdr:pic>
    <xdr:clientData/>
  </xdr:twoCellAnchor>
  <xdr:twoCellAnchor>
    <xdr:from>
      <xdr:col>7</xdr:col>
      <xdr:colOff>274322</xdr:colOff>
      <xdr:row>24</xdr:row>
      <xdr:rowOff>103414</xdr:rowOff>
    </xdr:from>
    <xdr:to>
      <xdr:col>11</xdr:col>
      <xdr:colOff>0</xdr:colOff>
      <xdr:row>32</xdr:row>
      <xdr:rowOff>114300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0</xdr:colOff>
      <xdr:row>0</xdr:row>
      <xdr:rowOff>171450</xdr:rowOff>
    </xdr:from>
    <xdr:to>
      <xdr:col>18</xdr:col>
      <xdr:colOff>961394</xdr:colOff>
      <xdr:row>14</xdr:row>
      <xdr:rowOff>92600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68450" y="171450"/>
          <a:ext cx="5047619" cy="32761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5</xdr:row>
      <xdr:rowOff>65777</xdr:rowOff>
    </xdr:from>
    <xdr:to>
      <xdr:col>18</xdr:col>
      <xdr:colOff>525107</xdr:colOff>
      <xdr:row>31</xdr:row>
      <xdr:rowOff>167640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609600</xdr:colOff>
      <xdr:row>29</xdr:row>
      <xdr:rowOff>60065</xdr:rowOff>
    </xdr:from>
    <xdr:to>
      <xdr:col>17</xdr:col>
      <xdr:colOff>365760</xdr:colOff>
      <xdr:row>31</xdr:row>
      <xdr:rowOff>30481</xdr:rowOff>
    </xdr:to>
    <xdr:sp macro="" textlink="">
      <xdr:nvSpPr>
        <xdr:cNvPr id="2" name="TextBox 1"/>
        <xdr:cNvSpPr txBox="1"/>
      </xdr:nvSpPr>
      <xdr:spPr>
        <a:xfrm>
          <a:off x="5981700" y="5599805"/>
          <a:ext cx="6957060" cy="336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TBD cm</a:t>
          </a:r>
          <a:r>
            <a:rPr lang="en-US" sz="1200" b="1" i="0" u="none" strike="noStrike" baseline="30000" smtClean="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200" b="1" i="0" u="none" strike="noStrike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(Top) and TBD</a:t>
          </a:r>
          <a:r>
            <a:rPr kumimoji="0" lang="en-US" sz="1200" b="1" i="0" u="none" strike="noStrike" kern="0" cap="none" spc="0" normalizeH="0" baseline="0" noProof="0" smtClean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cm</a:t>
          </a:r>
          <a:r>
            <a:rPr kumimoji="0" lang="en-US" sz="1200" b="1" i="0" u="none" strike="noStrike" kern="0" cap="none" spc="0" normalizeH="0" baseline="30000" noProof="0" smtClean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200" b="1" i="0" u="none" strike="noStrike" kern="0" cap="none" spc="0" normalizeH="0" baseline="0" noProof="0" smtClean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gpn/tps2595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87"/>
  <sheetViews>
    <sheetView showGridLines="0" tabSelected="1" zoomScale="85" zoomScaleNormal="85" workbookViewId="0">
      <pane xSplit="2" ySplit="15" topLeftCell="C16" activePane="bottomRight" state="frozen"/>
      <selection pane="topRight" activeCell="C1" sqref="C1"/>
      <selection pane="bottomLeft" activeCell="A16" sqref="A16"/>
      <selection pane="bottomRight" activeCell="D5" sqref="D5"/>
    </sheetView>
  </sheetViews>
  <sheetFormatPr defaultColWidth="9.109375" defaultRowHeight="18" customHeight="1" x14ac:dyDescent="0.3"/>
  <cols>
    <col min="1" max="1" width="2.44140625" style="1" customWidth="1"/>
    <col min="2" max="2" width="28.5546875" style="1" customWidth="1"/>
    <col min="3" max="3" width="64.109375" style="118" customWidth="1"/>
    <col min="4" max="4" width="14.44140625" style="3" bestFit="1" customWidth="1"/>
    <col min="5" max="5" width="7.88671875" style="1" bestFit="1" customWidth="1"/>
    <col min="6" max="6" width="9.109375" style="5" bestFit="1" customWidth="1"/>
    <col min="7" max="7" width="13.5546875" style="76" bestFit="1" customWidth="1"/>
    <col min="8" max="8" width="9.109375" style="1"/>
    <col min="9" max="9" width="11.5546875" style="1" bestFit="1" customWidth="1"/>
    <col min="10" max="10" width="20.6640625" style="1" customWidth="1"/>
    <col min="11" max="11" width="32.44140625" style="1" bestFit="1" customWidth="1"/>
    <col min="12" max="12" width="9.109375" style="1" hidden="1" customWidth="1"/>
    <col min="13" max="13" width="10.88671875" style="1" customWidth="1"/>
    <col min="14" max="14" width="10.44140625" style="1" bestFit="1" customWidth="1"/>
    <col min="15" max="15" width="11" style="1" bestFit="1" customWidth="1"/>
    <col min="16" max="16" width="10.33203125" style="1" bestFit="1" customWidth="1"/>
    <col min="17" max="17" width="5.109375" style="1" bestFit="1" customWidth="1"/>
    <col min="18" max="18" width="13.5546875" style="5" bestFit="1" customWidth="1"/>
    <col min="19" max="19" width="14.44140625" style="5" bestFit="1" customWidth="1"/>
    <col min="20" max="20" width="9.109375" style="201"/>
    <col min="21" max="16384" width="9.109375" style="1"/>
  </cols>
  <sheetData>
    <row r="1" spans="2:20" ht="18" customHeight="1" x14ac:dyDescent="0.25">
      <c r="B1" s="259" t="s">
        <v>126</v>
      </c>
      <c r="C1" s="260"/>
      <c r="D1" s="233"/>
      <c r="E1" s="234"/>
      <c r="F1" s="235"/>
      <c r="M1" s="208" t="s">
        <v>176</v>
      </c>
    </row>
    <row r="2" spans="2:20" ht="41.4" x14ac:dyDescent="0.35">
      <c r="B2" s="236" t="s">
        <v>45</v>
      </c>
      <c r="C2" s="107" t="s">
        <v>46</v>
      </c>
      <c r="D2" s="30" t="s">
        <v>47</v>
      </c>
      <c r="E2" s="147"/>
      <c r="F2" s="237"/>
      <c r="G2" s="207" t="s">
        <v>179</v>
      </c>
      <c r="L2" s="1">
        <f>INDEX(L3:L14,MATCH(D5,M3:M14))</f>
        <v>1</v>
      </c>
      <c r="M2" s="212" t="s">
        <v>117</v>
      </c>
      <c r="N2" s="212" t="s">
        <v>185</v>
      </c>
      <c r="O2" s="213" t="s">
        <v>136</v>
      </c>
      <c r="P2" s="213" t="s">
        <v>188</v>
      </c>
      <c r="Q2" s="213" t="s">
        <v>182</v>
      </c>
      <c r="R2" s="214" t="s">
        <v>186</v>
      </c>
      <c r="S2" s="215" t="s">
        <v>187</v>
      </c>
      <c r="T2" s="202"/>
    </row>
    <row r="3" spans="2:20" ht="18" customHeight="1" thickBot="1" x14ac:dyDescent="0.3">
      <c r="B3" s="239" t="s">
        <v>181</v>
      </c>
      <c r="C3" s="240" t="s">
        <v>86</v>
      </c>
      <c r="D3" s="241"/>
      <c r="E3" s="242"/>
      <c r="F3" s="243"/>
      <c r="G3" s="207" t="s">
        <v>178</v>
      </c>
      <c r="L3" s="1">
        <v>1</v>
      </c>
      <c r="M3" s="216" t="s">
        <v>129</v>
      </c>
      <c r="N3" s="217">
        <v>3.8</v>
      </c>
      <c r="O3" s="217" t="s">
        <v>144</v>
      </c>
      <c r="P3" s="217" t="s">
        <v>145</v>
      </c>
      <c r="Q3" s="217" t="s">
        <v>183</v>
      </c>
      <c r="R3" s="218">
        <v>40</v>
      </c>
      <c r="S3" s="219">
        <v>58</v>
      </c>
      <c r="T3" s="200"/>
    </row>
    <row r="4" spans="2:20" ht="18" customHeight="1" x14ac:dyDescent="0.25">
      <c r="B4" s="52" t="s">
        <v>0</v>
      </c>
      <c r="C4" s="106" t="s">
        <v>1</v>
      </c>
      <c r="D4" s="53" t="s">
        <v>2</v>
      </c>
      <c r="E4" s="246" t="s">
        <v>3</v>
      </c>
      <c r="F4" s="54" t="s">
        <v>65</v>
      </c>
      <c r="L4" s="1">
        <v>1</v>
      </c>
      <c r="M4" s="220" t="s">
        <v>130</v>
      </c>
      <c r="N4" s="221">
        <v>3.8</v>
      </c>
      <c r="O4" s="221" t="s">
        <v>144</v>
      </c>
      <c r="P4" s="221" t="s">
        <v>146</v>
      </c>
      <c r="Q4" s="221" t="s">
        <v>183</v>
      </c>
      <c r="R4" s="211">
        <v>40</v>
      </c>
      <c r="S4" s="210">
        <v>58</v>
      </c>
      <c r="T4" s="200"/>
    </row>
    <row r="5" spans="2:20" ht="30" x14ac:dyDescent="0.25">
      <c r="B5" s="247" t="s">
        <v>127</v>
      </c>
      <c r="C5" s="107" t="s">
        <v>128</v>
      </c>
      <c r="D5" s="230" t="s">
        <v>138</v>
      </c>
      <c r="E5" s="244"/>
      <c r="F5" s="248"/>
      <c r="L5" s="1">
        <v>1</v>
      </c>
      <c r="M5" s="216" t="s">
        <v>131</v>
      </c>
      <c r="N5" s="217">
        <v>3.8</v>
      </c>
      <c r="O5" s="217" t="s">
        <v>144</v>
      </c>
      <c r="P5" s="217" t="s">
        <v>146</v>
      </c>
      <c r="Q5" s="226" t="s">
        <v>184</v>
      </c>
      <c r="R5" s="218">
        <v>40</v>
      </c>
      <c r="S5" s="219">
        <v>58</v>
      </c>
      <c r="T5" s="200"/>
    </row>
    <row r="6" spans="2:20" ht="15.6" x14ac:dyDescent="0.3">
      <c r="B6" s="247" t="s">
        <v>107</v>
      </c>
      <c r="C6" s="107" t="s">
        <v>205</v>
      </c>
      <c r="D6" s="48">
        <v>13.2</v>
      </c>
      <c r="E6" s="31" t="s">
        <v>6</v>
      </c>
      <c r="F6" s="63"/>
      <c r="L6" s="1">
        <v>1</v>
      </c>
      <c r="M6" s="220" t="s">
        <v>132</v>
      </c>
      <c r="N6" s="221">
        <v>5.7</v>
      </c>
      <c r="O6" s="221" t="s">
        <v>144</v>
      </c>
      <c r="P6" s="221" t="s">
        <v>145</v>
      </c>
      <c r="Q6" s="221" t="s">
        <v>183</v>
      </c>
      <c r="R6" s="211">
        <v>37</v>
      </c>
      <c r="S6" s="210">
        <v>53</v>
      </c>
      <c r="T6" s="200"/>
    </row>
    <row r="7" spans="2:20" ht="15.6" x14ac:dyDescent="0.3">
      <c r="B7" s="247" t="s">
        <v>87</v>
      </c>
      <c r="C7" s="107" t="s">
        <v>197</v>
      </c>
      <c r="D7" s="48">
        <v>4.3</v>
      </c>
      <c r="E7" s="31" t="s">
        <v>6</v>
      </c>
      <c r="F7" s="63"/>
      <c r="L7" s="1">
        <v>1</v>
      </c>
      <c r="M7" s="216" t="s">
        <v>133</v>
      </c>
      <c r="N7" s="217">
        <v>5.7</v>
      </c>
      <c r="O7" s="217" t="s">
        <v>144</v>
      </c>
      <c r="P7" s="217" t="s">
        <v>146</v>
      </c>
      <c r="Q7" s="217" t="s">
        <v>183</v>
      </c>
      <c r="R7" s="218">
        <v>37</v>
      </c>
      <c r="S7" s="219">
        <v>53</v>
      </c>
      <c r="T7" s="200"/>
    </row>
    <row r="8" spans="2:20" ht="15.6" x14ac:dyDescent="0.3">
      <c r="B8" s="249" t="s">
        <v>189</v>
      </c>
      <c r="C8" s="197" t="s">
        <v>190</v>
      </c>
      <c r="D8" s="24">
        <f>IF(RIGHT(D5,1)="5",2.8,2.54)</f>
        <v>2.54</v>
      </c>
      <c r="E8" s="31" t="s">
        <v>6</v>
      </c>
      <c r="F8" s="250">
        <v>3.6999999999999998E-2</v>
      </c>
      <c r="L8" s="1" t="s">
        <v>135</v>
      </c>
      <c r="M8" s="220" t="s">
        <v>135</v>
      </c>
      <c r="N8" s="221">
        <v>5.7</v>
      </c>
      <c r="O8" s="222" t="s">
        <v>143</v>
      </c>
      <c r="P8" s="221" t="s">
        <v>146</v>
      </c>
      <c r="Q8" s="221" t="s">
        <v>183</v>
      </c>
      <c r="R8" s="211">
        <v>37</v>
      </c>
      <c r="S8" s="210">
        <v>53</v>
      </c>
      <c r="T8" s="200"/>
    </row>
    <row r="9" spans="2:20" ht="18" customHeight="1" x14ac:dyDescent="0.25">
      <c r="B9" s="247" t="s">
        <v>9</v>
      </c>
      <c r="C9" s="107" t="s">
        <v>10</v>
      </c>
      <c r="D9" s="49">
        <v>10</v>
      </c>
      <c r="E9" s="31" t="s">
        <v>11</v>
      </c>
      <c r="F9" s="64">
        <v>0.1</v>
      </c>
      <c r="L9" s="1">
        <v>1</v>
      </c>
      <c r="M9" s="216" t="s">
        <v>134</v>
      </c>
      <c r="N9" s="217">
        <v>5.7</v>
      </c>
      <c r="O9" s="217" t="s">
        <v>144</v>
      </c>
      <c r="P9" s="217" t="s">
        <v>146</v>
      </c>
      <c r="Q9" s="226" t="s">
        <v>184</v>
      </c>
      <c r="R9" s="218">
        <v>37</v>
      </c>
      <c r="S9" s="219">
        <v>53</v>
      </c>
      <c r="T9" s="200"/>
    </row>
    <row r="10" spans="2:20" ht="30" x14ac:dyDescent="0.25">
      <c r="B10" s="247" t="s">
        <v>50</v>
      </c>
      <c r="C10" s="258" t="s">
        <v>208</v>
      </c>
      <c r="D10" s="49">
        <v>4</v>
      </c>
      <c r="E10" s="31" t="s">
        <v>51</v>
      </c>
      <c r="F10" s="63"/>
      <c r="G10" s="238">
        <f>Vcc_max/Imax</f>
        <v>3.5675675675675671</v>
      </c>
      <c r="L10" s="1">
        <v>1</v>
      </c>
      <c r="M10" s="220" t="s">
        <v>137</v>
      </c>
      <c r="N10" s="221">
        <v>13.7</v>
      </c>
      <c r="O10" s="221" t="s">
        <v>144</v>
      </c>
      <c r="P10" s="221" t="s">
        <v>145</v>
      </c>
      <c r="Q10" s="221" t="s">
        <v>183</v>
      </c>
      <c r="R10" s="211">
        <v>37</v>
      </c>
      <c r="S10" s="210">
        <v>53</v>
      </c>
      <c r="T10" s="200"/>
    </row>
    <row r="11" spans="2:20" ht="18" customHeight="1" x14ac:dyDescent="0.25">
      <c r="B11" s="247" t="s">
        <v>12</v>
      </c>
      <c r="C11" s="107" t="s">
        <v>13</v>
      </c>
      <c r="D11" s="49">
        <v>3.7</v>
      </c>
      <c r="E11" s="31" t="s">
        <v>4</v>
      </c>
      <c r="F11" s="63"/>
      <c r="L11" s="1">
        <v>1</v>
      </c>
      <c r="M11" s="216" t="s">
        <v>138</v>
      </c>
      <c r="N11" s="217">
        <v>13.7</v>
      </c>
      <c r="O11" s="217" t="s">
        <v>144</v>
      </c>
      <c r="P11" s="217" t="s">
        <v>146</v>
      </c>
      <c r="Q11" s="217" t="s">
        <v>183</v>
      </c>
      <c r="R11" s="218">
        <v>37</v>
      </c>
      <c r="S11" s="219">
        <v>53</v>
      </c>
      <c r="T11" s="200"/>
    </row>
    <row r="12" spans="2:20" ht="18" customHeight="1" x14ac:dyDescent="0.25">
      <c r="B12" s="251" t="s">
        <v>14</v>
      </c>
      <c r="C12" s="110" t="s">
        <v>180</v>
      </c>
      <c r="D12" s="46">
        <f>1.075*Imax</f>
        <v>3.9775</v>
      </c>
      <c r="E12" s="245" t="s">
        <v>4</v>
      </c>
      <c r="F12" s="63"/>
      <c r="L12" s="1">
        <v>1</v>
      </c>
      <c r="M12" s="220" t="s">
        <v>139</v>
      </c>
      <c r="N12" s="221" t="s">
        <v>125</v>
      </c>
      <c r="O12" s="221" t="s">
        <v>144</v>
      </c>
      <c r="P12" s="221" t="s">
        <v>145</v>
      </c>
      <c r="Q12" s="221" t="s">
        <v>183</v>
      </c>
      <c r="R12" s="211">
        <v>37</v>
      </c>
      <c r="S12" s="210">
        <v>53</v>
      </c>
      <c r="T12" s="200"/>
    </row>
    <row r="13" spans="2:20" ht="18" customHeight="1" x14ac:dyDescent="0.3">
      <c r="B13" s="252" t="s">
        <v>116</v>
      </c>
      <c r="C13" s="113" t="s">
        <v>118</v>
      </c>
      <c r="D13" s="24">
        <f>INDEX(N3:N14,MATCH(D5,M3:M14))</f>
        <v>13.7</v>
      </c>
      <c r="E13" s="33" t="s">
        <v>6</v>
      </c>
      <c r="F13" s="250">
        <v>4.4999999999999998E-2</v>
      </c>
      <c r="L13" s="1">
        <v>1</v>
      </c>
      <c r="M13" s="216" t="s">
        <v>140</v>
      </c>
      <c r="N13" s="217" t="s">
        <v>125</v>
      </c>
      <c r="O13" s="217" t="s">
        <v>144</v>
      </c>
      <c r="P13" s="217" t="s">
        <v>146</v>
      </c>
      <c r="Q13" s="217" t="s">
        <v>183</v>
      </c>
      <c r="R13" s="218">
        <v>37</v>
      </c>
      <c r="S13" s="219">
        <v>53</v>
      </c>
      <c r="T13" s="200"/>
    </row>
    <row r="14" spans="2:20" ht="18" hidden="1" customHeight="1" thickBot="1" x14ac:dyDescent="0.35">
      <c r="B14" s="253" t="s">
        <v>147</v>
      </c>
      <c r="C14" s="254" t="s">
        <v>199</v>
      </c>
      <c r="D14" s="255">
        <v>15</v>
      </c>
      <c r="E14" s="256" t="s">
        <v>6</v>
      </c>
      <c r="F14" s="65"/>
      <c r="L14" s="1">
        <v>0</v>
      </c>
      <c r="M14" s="223" t="s">
        <v>141</v>
      </c>
      <c r="N14" s="257" t="s">
        <v>142</v>
      </c>
      <c r="O14" s="225" t="s">
        <v>143</v>
      </c>
      <c r="P14" s="224" t="s">
        <v>146</v>
      </c>
      <c r="Q14" s="224" t="s">
        <v>183</v>
      </c>
      <c r="R14" s="209">
        <v>37</v>
      </c>
      <c r="S14" s="123">
        <v>53</v>
      </c>
      <c r="T14" s="200"/>
    </row>
    <row r="15" spans="2:20" ht="18" customHeight="1" x14ac:dyDescent="0.3">
      <c r="B15" s="28"/>
      <c r="C15" s="108"/>
      <c r="D15" s="27"/>
      <c r="E15" s="28"/>
      <c r="F15" s="29"/>
      <c r="M15" s="199"/>
      <c r="N15" s="199"/>
      <c r="O15" s="199"/>
      <c r="P15" s="199"/>
      <c r="Q15" s="199"/>
      <c r="R15" s="200"/>
      <c r="S15" s="200"/>
    </row>
    <row r="16" spans="2:20" s="157" customFormat="1" ht="18" customHeight="1" x14ac:dyDescent="0.3">
      <c r="B16" s="152" t="s">
        <v>177</v>
      </c>
      <c r="C16" s="153"/>
      <c r="D16" s="154"/>
      <c r="E16" s="153"/>
      <c r="F16" s="155"/>
      <c r="G16" s="156"/>
      <c r="R16" s="158"/>
      <c r="S16" s="158"/>
      <c r="T16" s="203"/>
    </row>
    <row r="17" spans="2:20" s="157" customFormat="1" ht="15.6" x14ac:dyDescent="0.3">
      <c r="B17" s="159" t="s">
        <v>148</v>
      </c>
      <c r="C17" s="160" t="s">
        <v>103</v>
      </c>
      <c r="D17" s="161">
        <v>1000</v>
      </c>
      <c r="E17" s="162" t="s">
        <v>18</v>
      </c>
      <c r="F17" s="163">
        <v>0.01</v>
      </c>
      <c r="G17" s="156"/>
      <c r="L17" s="157">
        <f>IF(D17&gt;=100,D17,IF(D17&gt;=10,D17*10,D17*100))</f>
        <v>1000</v>
      </c>
      <c r="R17" s="158"/>
      <c r="S17" s="158"/>
      <c r="T17" s="203"/>
    </row>
    <row r="18" spans="2:20" s="157" customFormat="1" ht="18" customHeight="1" x14ac:dyDescent="0.3">
      <c r="B18" s="164" t="s">
        <v>79</v>
      </c>
      <c r="C18" s="165" t="s">
        <v>149</v>
      </c>
      <c r="D18" s="166">
        <f>RpUVLO/(UVset/OVref -1)</f>
        <v>387.09677419354836</v>
      </c>
      <c r="E18" s="167" t="s">
        <v>18</v>
      </c>
      <c r="F18" s="168"/>
      <c r="G18" s="156"/>
      <c r="J18" s="169">
        <f>D22</f>
        <v>3.9061224489795916</v>
      </c>
      <c r="K18" s="170" t="s">
        <v>97</v>
      </c>
      <c r="L18" s="171">
        <f t="shared" ref="L18" si="0">IF(D18&gt;=100,D18,IF(D18&gt;=10,D18*10,D18*100))</f>
        <v>387.09677419354836</v>
      </c>
      <c r="R18" s="158"/>
      <c r="S18" s="158"/>
      <c r="T18" s="204"/>
    </row>
    <row r="19" spans="2:20" s="157" customFormat="1" ht="18" customHeight="1" x14ac:dyDescent="0.3">
      <c r="B19" s="173" t="s">
        <v>104</v>
      </c>
      <c r="C19" s="174"/>
      <c r="D19" s="175"/>
      <c r="E19" s="176"/>
      <c r="F19" s="177"/>
      <c r="G19" s="156"/>
      <c r="J19" s="169">
        <f>D21</f>
        <v>4.2612244897959179</v>
      </c>
      <c r="K19" s="170" t="s">
        <v>120</v>
      </c>
      <c r="R19" s="158"/>
      <c r="S19" s="158"/>
      <c r="T19" s="205"/>
    </row>
    <row r="20" spans="2:20" s="157" customFormat="1" ht="18" customHeight="1" x14ac:dyDescent="0.3">
      <c r="B20" s="179" t="s">
        <v>56</v>
      </c>
      <c r="C20" s="180" t="s">
        <v>57</v>
      </c>
      <c r="D20" s="181">
        <f>G20</f>
        <v>392.00000000000006</v>
      </c>
      <c r="E20" s="167" t="s">
        <v>18</v>
      </c>
      <c r="F20" s="182">
        <f>F17</f>
        <v>0.01</v>
      </c>
      <c r="G20" s="227">
        <f>L20*D18/L18</f>
        <v>392.00000000000006</v>
      </c>
      <c r="J20" s="183">
        <f>IF(D13="No Clamp","NoClamp", D13)</f>
        <v>13.7</v>
      </c>
      <c r="K20" s="170" t="s">
        <v>119</v>
      </c>
      <c r="L20" s="184">
        <f>INDEX('Res EIA Tables'!E$5:E$197,2+MATCH(L18,'Res EIA Tables'!E$5:E$197))</f>
        <v>392</v>
      </c>
      <c r="R20" s="158"/>
      <c r="S20" s="158"/>
      <c r="T20" s="203"/>
    </row>
    <row r="21" spans="2:20" s="172" customFormat="1" ht="18" customHeight="1" x14ac:dyDescent="0.3">
      <c r="B21" s="185" t="s">
        <v>195</v>
      </c>
      <c r="C21" s="186" t="str">
        <f>C7</f>
        <v>Undervoltage Threshold (VIN Rising)</v>
      </c>
      <c r="D21" s="187">
        <f>OVref*(1+RpUVLO/D20)</f>
        <v>4.2612244897959179</v>
      </c>
      <c r="E21" s="188" t="s">
        <v>6</v>
      </c>
      <c r="F21" s="189">
        <f>SQRT(F85^2+F17^2+F20^2)</f>
        <v>6.4567793829431716E-2</v>
      </c>
      <c r="G21" s="190"/>
      <c r="M21" s="157"/>
      <c r="N21" s="157"/>
      <c r="O21" s="157"/>
      <c r="P21" s="157"/>
      <c r="Q21" s="157"/>
      <c r="R21" s="158"/>
      <c r="S21" s="158"/>
      <c r="T21" s="203"/>
    </row>
    <row r="22" spans="2:20" s="178" customFormat="1" ht="18" customHeight="1" x14ac:dyDescent="0.3">
      <c r="B22" s="191" t="s">
        <v>196</v>
      </c>
      <c r="C22" s="192" t="s">
        <v>198</v>
      </c>
      <c r="D22" s="193">
        <f>UVref*(1+RpUVLO/D20)</f>
        <v>3.9061224489795916</v>
      </c>
      <c r="E22" s="194" t="s">
        <v>6</v>
      </c>
      <c r="F22" s="195">
        <f>F21</f>
        <v>6.4567793829431716E-2</v>
      </c>
      <c r="G22" s="196"/>
      <c r="M22" s="157"/>
      <c r="N22" s="157"/>
      <c r="O22" s="157"/>
      <c r="P22" s="157"/>
      <c r="Q22" s="157"/>
      <c r="R22" s="158"/>
      <c r="S22" s="158"/>
      <c r="T22" s="203"/>
    </row>
    <row r="23" spans="2:20" s="157" customFormat="1" ht="18" customHeight="1" x14ac:dyDescent="0.3">
      <c r="B23" s="197" t="s">
        <v>108</v>
      </c>
      <c r="C23" s="198" t="s">
        <v>105</v>
      </c>
      <c r="D23" s="193">
        <f>Vcc_max*1000/(RpUVLO+D20)</f>
        <v>9.4827586206896548</v>
      </c>
      <c r="E23" s="167" t="s">
        <v>7</v>
      </c>
      <c r="F23" s="168"/>
      <c r="G23" s="156"/>
      <c r="R23" s="158"/>
      <c r="S23" s="158"/>
      <c r="T23" s="203"/>
    </row>
    <row r="24" spans="2:20" s="157" customFormat="1" ht="18" customHeight="1" x14ac:dyDescent="0.3">
      <c r="B24" s="27"/>
      <c r="C24" s="27"/>
      <c r="D24" s="27"/>
      <c r="E24" s="27"/>
      <c r="F24" s="27"/>
      <c r="G24" s="156"/>
      <c r="R24" s="158"/>
      <c r="S24" s="158"/>
      <c r="T24" s="203"/>
    </row>
    <row r="25" spans="2:20" ht="32.4" hidden="1" customHeight="1" x14ac:dyDescent="0.3">
      <c r="B25" s="98" t="s">
        <v>200</v>
      </c>
      <c r="C25" s="81"/>
      <c r="D25" s="82"/>
      <c r="E25" s="81"/>
      <c r="F25" s="83"/>
      <c r="M25" s="61"/>
      <c r="N25" s="61"/>
      <c r="O25" s="61"/>
      <c r="P25" s="61"/>
      <c r="Q25" s="61"/>
      <c r="R25" s="151"/>
      <c r="S25" s="151"/>
    </row>
    <row r="26" spans="2:20" ht="22.2" hidden="1" customHeight="1" x14ac:dyDescent="0.3">
      <c r="B26" s="80" t="s">
        <v>191</v>
      </c>
      <c r="C26" s="107" t="s">
        <v>103</v>
      </c>
      <c r="D26" s="49">
        <v>1000</v>
      </c>
      <c r="E26" s="31" t="s">
        <v>18</v>
      </c>
      <c r="F26" s="50">
        <v>0.01</v>
      </c>
      <c r="J26" s="120">
        <f>VUVP</f>
        <v>2.54</v>
      </c>
      <c r="K26" s="146" t="s">
        <v>120</v>
      </c>
      <c r="L26" s="1">
        <f>IF(D26&gt;=100,D26,IF(D26&gt;=10,D26*10,D26*100))</f>
        <v>1000</v>
      </c>
    </row>
    <row r="27" spans="2:20" ht="18" hidden="1" customHeight="1" x14ac:dyDescent="0.3">
      <c r="B27" s="84" t="s">
        <v>79</v>
      </c>
      <c r="C27" s="104" t="s">
        <v>192</v>
      </c>
      <c r="D27" s="62">
        <f>D26/(OVset/OVref -1)</f>
        <v>86.956521739130437</v>
      </c>
      <c r="E27" s="33" t="s">
        <v>18</v>
      </c>
      <c r="F27" s="34"/>
      <c r="J27" s="120">
        <f>D30</f>
        <v>14.728748590755355</v>
      </c>
      <c r="K27" s="146" t="s">
        <v>159</v>
      </c>
      <c r="L27" s="100">
        <f t="shared" ref="L27" si="1">IF(D27&gt;=100,D27,IF(D27&gt;=10,D27*10,D27*100))</f>
        <v>869.56521739130437</v>
      </c>
      <c r="T27" s="206"/>
    </row>
    <row r="28" spans="2:20" ht="18" hidden="1" customHeight="1" x14ac:dyDescent="0.3">
      <c r="B28" s="85" t="s">
        <v>104</v>
      </c>
      <c r="C28" s="109"/>
      <c r="D28" s="22"/>
      <c r="E28" s="23"/>
      <c r="F28" s="25"/>
      <c r="J28" s="120">
        <f>D31</f>
        <v>13.501352874859077</v>
      </c>
      <c r="K28" s="121" t="s">
        <v>152</v>
      </c>
    </row>
    <row r="29" spans="2:20" ht="18" hidden="1" customHeight="1" x14ac:dyDescent="0.3">
      <c r="B29" s="86" t="s">
        <v>56</v>
      </c>
      <c r="C29" s="110" t="s">
        <v>57</v>
      </c>
      <c r="D29" s="46">
        <f>G29</f>
        <v>88.7</v>
      </c>
      <c r="E29" s="33" t="s">
        <v>18</v>
      </c>
      <c r="F29" s="47">
        <f>F26</f>
        <v>0.01</v>
      </c>
      <c r="G29" s="76">
        <f>L29*D27/L27</f>
        <v>88.7</v>
      </c>
      <c r="J29" s="4"/>
      <c r="K29" s="75"/>
      <c r="L29" s="101">
        <f>INDEX('Res EIA Tables'!E$5:E$197,2+MATCH(L27,'Res EIA Tables'!E$5:E$197))</f>
        <v>887</v>
      </c>
    </row>
    <row r="30" spans="2:20" s="57" customFormat="1" ht="18.600000000000001" hidden="1" customHeight="1" x14ac:dyDescent="0.3">
      <c r="B30" s="87" t="s">
        <v>150</v>
      </c>
      <c r="C30" s="111" t="s">
        <v>153</v>
      </c>
      <c r="D30" s="55">
        <f>OVref*(1+D26/D29)</f>
        <v>14.728748590755355</v>
      </c>
      <c r="E30" s="56" t="s">
        <v>6</v>
      </c>
      <c r="F30" s="148">
        <f>SQRT(F86^2+F26^2+F29^2)</f>
        <v>5.9699246226397197E-2</v>
      </c>
      <c r="G30" s="77"/>
      <c r="J30" s="4"/>
      <c r="K30" s="75"/>
      <c r="M30" s="1"/>
      <c r="N30" s="1"/>
      <c r="O30" s="1"/>
      <c r="P30" s="1"/>
      <c r="Q30" s="1"/>
      <c r="R30" s="5"/>
      <c r="S30" s="5"/>
      <c r="T30" s="201"/>
    </row>
    <row r="31" spans="2:20" ht="18" hidden="1" customHeight="1" x14ac:dyDescent="0.3">
      <c r="B31" s="88" t="s">
        <v>151</v>
      </c>
      <c r="C31" s="112" t="s">
        <v>152</v>
      </c>
      <c r="D31" s="21">
        <f>UVref*(1+D26/D29)</f>
        <v>13.501352874859077</v>
      </c>
      <c r="E31" s="60" t="s">
        <v>6</v>
      </c>
      <c r="F31" s="149">
        <f>F30</f>
        <v>5.9699246226397197E-2</v>
      </c>
      <c r="G31" s="78"/>
    </row>
    <row r="32" spans="2:20" ht="21" hidden="1" customHeight="1" x14ac:dyDescent="0.3">
      <c r="B32" s="89" t="s">
        <v>108</v>
      </c>
      <c r="C32" s="113" t="s">
        <v>105</v>
      </c>
      <c r="D32" s="21">
        <f>Vcc_max*1000/(D26+D29)</f>
        <v>12.12455221824194</v>
      </c>
      <c r="E32" s="33" t="s">
        <v>7</v>
      </c>
      <c r="F32" s="34"/>
      <c r="M32" s="57"/>
      <c r="N32" s="57"/>
      <c r="O32" s="57"/>
      <c r="P32" s="57"/>
      <c r="Q32" s="57"/>
      <c r="R32" s="150"/>
      <c r="S32" s="150"/>
    </row>
    <row r="33" spans="2:20" ht="25.2" hidden="1" customHeight="1" x14ac:dyDescent="0.3">
      <c r="B33" s="28"/>
      <c r="C33" s="108"/>
      <c r="D33" s="27"/>
      <c r="E33" s="28"/>
      <c r="F33" s="29"/>
    </row>
    <row r="34" spans="2:20" ht="18" customHeight="1" x14ac:dyDescent="0.3">
      <c r="B34" s="261" t="s">
        <v>165</v>
      </c>
      <c r="C34" s="261"/>
      <c r="D34" s="82"/>
      <c r="E34" s="81"/>
      <c r="F34" s="83"/>
    </row>
    <row r="35" spans="2:20" ht="18" customHeight="1" x14ac:dyDescent="0.25">
      <c r="B35" s="84" t="s">
        <v>167</v>
      </c>
      <c r="C35" s="104" t="s">
        <v>17</v>
      </c>
      <c r="D35" s="21">
        <f>2000/(Ilimit-0.04)</f>
        <v>507.93650793650795</v>
      </c>
      <c r="E35" s="31" t="s">
        <v>51</v>
      </c>
      <c r="F35" s="32"/>
      <c r="J35" s="1">
        <f>Icharge</f>
        <v>0.50769230769230766</v>
      </c>
      <c r="K35" s="75" t="s">
        <v>98</v>
      </c>
      <c r="L35" s="100">
        <f>IF(D35&gt;=100,D35,IF(D35&gt;=10,D35*10,D35*100))</f>
        <v>507.93650793650795</v>
      </c>
    </row>
    <row r="36" spans="2:20" ht="18" customHeight="1" x14ac:dyDescent="0.25">
      <c r="B36" s="85" t="s">
        <v>164</v>
      </c>
      <c r="C36" s="109"/>
      <c r="D36" s="90"/>
      <c r="E36" s="31"/>
      <c r="F36" s="32"/>
      <c r="J36" s="4">
        <f>Ilimit_final</f>
        <v>3.9538943248532288</v>
      </c>
      <c r="K36" s="75" t="s">
        <v>99</v>
      </c>
    </row>
    <row r="37" spans="2:20" ht="30" customHeight="1" x14ac:dyDescent="0.25">
      <c r="B37" s="86" t="s">
        <v>166</v>
      </c>
      <c r="C37" s="110" t="s">
        <v>163</v>
      </c>
      <c r="D37" s="46">
        <f>G37</f>
        <v>511</v>
      </c>
      <c r="E37" s="31" t="s">
        <v>51</v>
      </c>
      <c r="F37" s="50">
        <v>0.01</v>
      </c>
      <c r="G37" s="120">
        <f>L37*D35/L35</f>
        <v>511</v>
      </c>
      <c r="L37" s="1">
        <f>INDEX('Res EIA Tables'!E$5:E$197,2+MATCH(L35,'Res EIA Tables'!E$5:E$197))</f>
        <v>511</v>
      </c>
    </row>
    <row r="38" spans="2:20" ht="18" customHeight="1" x14ac:dyDescent="0.25">
      <c r="B38" s="91" t="s">
        <v>15</v>
      </c>
      <c r="C38" s="114" t="s">
        <v>16</v>
      </c>
      <c r="D38" s="55">
        <f>((2000/RILM)+0.04)</f>
        <v>3.9538943248532288</v>
      </c>
      <c r="E38" s="58" t="s">
        <v>4</v>
      </c>
      <c r="F38" s="59">
        <f>SQRT(0.075^2+F37^2)</f>
        <v>7.5663729752107778E-2</v>
      </c>
      <c r="G38" s="77"/>
    </row>
    <row r="39" spans="2:20" ht="18" customHeight="1" x14ac:dyDescent="0.25">
      <c r="B39" s="91" t="s">
        <v>201</v>
      </c>
      <c r="C39" s="114" t="s">
        <v>202</v>
      </c>
      <c r="D39" s="231">
        <f>GainIMON*RILM/10^3</f>
        <v>141.036</v>
      </c>
      <c r="E39" s="58" t="s">
        <v>203</v>
      </c>
      <c r="F39" s="59">
        <f>SQRT(F87^2+F37^2)</f>
        <v>7.4672618810377872E-2</v>
      </c>
    </row>
    <row r="40" spans="2:20" ht="15" x14ac:dyDescent="0.25">
      <c r="B40" s="28"/>
      <c r="C40" s="108"/>
      <c r="D40" s="27"/>
      <c r="E40" s="28"/>
      <c r="F40" s="29"/>
    </row>
    <row r="41" spans="2:20" ht="21" x14ac:dyDescent="0.25">
      <c r="B41" s="261" t="s">
        <v>169</v>
      </c>
      <c r="C41" s="261"/>
      <c r="D41" s="82"/>
      <c r="E41" s="81"/>
      <c r="F41" s="83"/>
      <c r="T41" s="206"/>
    </row>
    <row r="42" spans="2:20" ht="18" customHeight="1" x14ac:dyDescent="0.25">
      <c r="B42" s="92" t="s">
        <v>0</v>
      </c>
      <c r="C42" s="115" t="s">
        <v>1</v>
      </c>
      <c r="D42" s="93" t="s">
        <v>2</v>
      </c>
      <c r="E42" s="94" t="s">
        <v>3</v>
      </c>
      <c r="F42" s="92" t="s">
        <v>65</v>
      </c>
      <c r="T42" s="206"/>
    </row>
    <row r="43" spans="2:20" ht="18" customHeight="1" x14ac:dyDescent="0.25">
      <c r="B43" s="84" t="s">
        <v>172</v>
      </c>
      <c r="C43" s="104" t="s">
        <v>170</v>
      </c>
      <c r="D43" s="24">
        <v>2</v>
      </c>
      <c r="E43" s="33" t="s">
        <v>7</v>
      </c>
      <c r="F43" s="35">
        <v>0.1</v>
      </c>
      <c r="T43" s="206"/>
    </row>
    <row r="44" spans="2:20" s="57" customFormat="1" ht="18" customHeight="1" x14ac:dyDescent="0.25">
      <c r="B44" s="84" t="s">
        <v>173</v>
      </c>
      <c r="C44" s="104" t="s">
        <v>171</v>
      </c>
      <c r="D44" s="24">
        <v>21</v>
      </c>
      <c r="E44" s="33" t="s">
        <v>77</v>
      </c>
      <c r="F44" s="35">
        <v>0.03</v>
      </c>
      <c r="G44" s="76"/>
      <c r="M44" s="1"/>
      <c r="N44" s="1"/>
      <c r="O44" s="1"/>
      <c r="P44" s="1"/>
      <c r="Q44" s="1"/>
      <c r="R44" s="5"/>
      <c r="S44" s="5"/>
      <c r="T44" s="201"/>
    </row>
    <row r="45" spans="2:20" s="57" customFormat="1" ht="32.4" customHeight="1" x14ac:dyDescent="0.25">
      <c r="B45" s="84" t="s">
        <v>100</v>
      </c>
      <c r="C45" s="104" t="s">
        <v>109</v>
      </c>
      <c r="D45" s="24">
        <f>MIN(Cout*(Vcc_max/D46)/1000, Ilimit_final)</f>
        <v>0.50769230769230766</v>
      </c>
      <c r="E45" s="33" t="s">
        <v>4</v>
      </c>
      <c r="F45" s="35"/>
      <c r="G45" s="76"/>
      <c r="H45" s="119"/>
      <c r="M45" s="1"/>
      <c r="N45" s="1"/>
      <c r="O45" s="1"/>
      <c r="P45" s="1"/>
      <c r="Q45" s="1"/>
      <c r="R45" s="5"/>
      <c r="S45" s="5"/>
      <c r="T45" s="201"/>
    </row>
    <row r="46" spans="2:20" s="57" customFormat="1" ht="18" customHeight="1" x14ac:dyDescent="0.25">
      <c r="B46" s="84" t="s">
        <v>175</v>
      </c>
      <c r="C46" s="104" t="s">
        <v>174</v>
      </c>
      <c r="D46" s="24">
        <v>0.26</v>
      </c>
      <c r="E46" s="33" t="s">
        <v>5</v>
      </c>
      <c r="F46" s="35">
        <v>0.15</v>
      </c>
      <c r="G46" s="119"/>
      <c r="M46" s="1"/>
      <c r="N46" s="1"/>
      <c r="O46" s="1"/>
      <c r="P46" s="1"/>
      <c r="Q46" s="1"/>
      <c r="R46" s="5"/>
      <c r="S46" s="5"/>
      <c r="T46" s="201"/>
    </row>
    <row r="47" spans="2:20" ht="21.6" customHeight="1" x14ac:dyDescent="0.25">
      <c r="B47" s="80" t="s">
        <v>59</v>
      </c>
      <c r="C47" s="107" t="s">
        <v>60</v>
      </c>
      <c r="D47" s="48">
        <f>D46</f>
        <v>0.26</v>
      </c>
      <c r="E47" s="33" t="s">
        <v>5</v>
      </c>
      <c r="F47" s="34"/>
      <c r="M47" s="57"/>
      <c r="N47" s="57"/>
      <c r="O47" s="57"/>
      <c r="P47" s="57"/>
      <c r="Q47" s="57"/>
      <c r="R47" s="150"/>
      <c r="S47" s="150"/>
    </row>
    <row r="48" spans="2:20" ht="18" customHeight="1" x14ac:dyDescent="0.25">
      <c r="B48" s="80" t="s">
        <v>61</v>
      </c>
      <c r="C48" s="107" t="s">
        <v>101</v>
      </c>
      <c r="D48" s="48">
        <f>Ilimit_final*0.75</f>
        <v>2.9654207436399216</v>
      </c>
      <c r="E48" s="33" t="s">
        <v>4</v>
      </c>
      <c r="F48" s="34"/>
      <c r="M48" s="57"/>
      <c r="N48" s="57"/>
      <c r="O48" s="57"/>
      <c r="P48" s="57"/>
      <c r="Q48" s="57"/>
      <c r="R48" s="150"/>
      <c r="S48" s="150"/>
    </row>
    <row r="49" spans="2:19" ht="18" customHeight="1" x14ac:dyDescent="0.25">
      <c r="B49" s="84" t="s">
        <v>112</v>
      </c>
      <c r="C49" s="104" t="s">
        <v>110</v>
      </c>
      <c r="D49" s="36">
        <f>IF(Tchg_req&lt;D46,    0,  (I_dVdt*Gain_dVdt*Tchg_req/Vcc_max))</f>
        <v>0.82727272727272727</v>
      </c>
      <c r="E49" s="33" t="s">
        <v>8</v>
      </c>
      <c r="F49" s="34"/>
      <c r="M49" s="57"/>
      <c r="N49" s="57"/>
      <c r="O49" s="57"/>
      <c r="P49" s="57"/>
      <c r="Q49" s="57"/>
      <c r="R49" s="150"/>
      <c r="S49" s="150"/>
    </row>
    <row r="50" spans="2:19" ht="18" customHeight="1" x14ac:dyDescent="0.25">
      <c r="B50" s="84" t="s">
        <v>113</v>
      </c>
      <c r="C50" s="104" t="s">
        <v>111</v>
      </c>
      <c r="D50" s="36">
        <f>(I_dVdt*Gain_dVdt*Cout*0.001/Icharge_req)</f>
        <v>0.14163251568965177</v>
      </c>
      <c r="E50" s="33" t="s">
        <v>8</v>
      </c>
      <c r="F50" s="34"/>
      <c r="G50" s="120">
        <f>MAX(Cdvdt_ext_cal1,Cext_dvdt_cal2)</f>
        <v>0.82727272727272727</v>
      </c>
    </row>
    <row r="51" spans="2:19" ht="18" customHeight="1" x14ac:dyDescent="0.25">
      <c r="B51" s="85" t="s">
        <v>114</v>
      </c>
      <c r="C51" s="109"/>
      <c r="D51" s="22"/>
      <c r="E51" s="33"/>
      <c r="F51" s="34"/>
    </row>
    <row r="52" spans="2:19" ht="15.75" x14ac:dyDescent="0.25">
      <c r="B52" s="86" t="s">
        <v>115</v>
      </c>
      <c r="C52" s="110" t="s">
        <v>206</v>
      </c>
      <c r="D52" s="46" t="str">
        <f>G52</f>
        <v>OPEN</v>
      </c>
      <c r="E52" s="33" t="s">
        <v>8</v>
      </c>
      <c r="F52" s="51">
        <v>0.1</v>
      </c>
      <c r="G52" s="228" t="str">
        <f>IF(G50&lt;3.3, "OPEN", IF(G50&gt;1,    INDEX('Cap Tables'!B4:B75,1+MATCH(G50,'Cap Tables'!B4:B75)),     INDEX('Cap Tables'!A4:A75,1+MATCH(G50*10,'Cap Tables'!A4:A75))/10))</f>
        <v>OPEN</v>
      </c>
    </row>
    <row r="53" spans="2:19" ht="18.75" x14ac:dyDescent="0.25">
      <c r="B53" s="91" t="s">
        <v>62</v>
      </c>
      <c r="C53" s="114" t="s">
        <v>121</v>
      </c>
      <c r="D53" s="55">
        <f>IF(Cdvdt_ext="OPEN",D45,Cout*0.000001*Gain_dVdt*I_dVdt*0.000001/(Cdvdt_ext*0.000000001))</f>
        <v>0.50769230769230766</v>
      </c>
      <c r="E53" s="58" t="s">
        <v>4</v>
      </c>
      <c r="F53" s="59">
        <f>SQRT(F55^2+F9^2)</f>
        <v>0.17578395831246946</v>
      </c>
      <c r="G53" s="103"/>
    </row>
    <row r="54" spans="2:19" ht="18" customHeight="1" x14ac:dyDescent="0.3">
      <c r="B54" s="91" t="s">
        <v>102</v>
      </c>
      <c r="C54" s="114"/>
      <c r="D54" s="55" t="b">
        <f>((Icharge+Vcc_max/Rlstart) &gt;= Ilimit_final)</f>
        <v>0</v>
      </c>
      <c r="E54" s="58"/>
      <c r="F54" s="59"/>
      <c r="G54" s="229">
        <f>Cout*0.001*Rlstart*(Ilimit_final/Icharge -1+LN(Icharge/(Ilimit_final-Vcc_max/Rlstart)))</f>
        <v>0.26139613940441464</v>
      </c>
    </row>
    <row r="55" spans="2:19" ht="20.25" customHeight="1" x14ac:dyDescent="0.3">
      <c r="B55" s="91" t="s">
        <v>122</v>
      </c>
      <c r="C55" s="114" t="s">
        <v>37</v>
      </c>
      <c r="D55" s="55">
        <f>IF(D54, G54, IF(Cdvdt_ext="OPEN",D46,((Cdvdt_ext*Vcc_max)/(I_dVdt*Gain_dVdt))))</f>
        <v>0.26</v>
      </c>
      <c r="E55" s="58" t="s">
        <v>5</v>
      </c>
      <c r="F55" s="59">
        <f>SQRT(F52^2+F43^2+F44^2)</f>
        <v>0.14456832294800961</v>
      </c>
      <c r="G55" s="77"/>
    </row>
    <row r="56" spans="2:19" ht="18" customHeight="1" x14ac:dyDescent="0.3">
      <c r="B56" s="84" t="s">
        <v>123</v>
      </c>
      <c r="C56" s="104" t="s">
        <v>63</v>
      </c>
      <c r="D56" s="21">
        <f>0.5*Vcc_max*Icharge</f>
        <v>3.3507692307692305</v>
      </c>
      <c r="E56" s="31" t="s">
        <v>32</v>
      </c>
      <c r="F56" s="32"/>
    </row>
    <row r="57" spans="2:19" ht="18" customHeight="1" x14ac:dyDescent="0.3">
      <c r="B57" s="28"/>
      <c r="C57" s="108"/>
      <c r="D57" s="27"/>
      <c r="E57" s="28"/>
      <c r="F57" s="29"/>
    </row>
    <row r="58" spans="2:19" ht="18" customHeight="1" x14ac:dyDescent="0.3">
      <c r="B58" s="261" t="s">
        <v>49</v>
      </c>
      <c r="C58" s="261"/>
      <c r="D58" s="261"/>
      <c r="E58" s="261"/>
      <c r="F58" s="83"/>
    </row>
    <row r="59" spans="2:19" ht="16.2" customHeight="1" x14ac:dyDescent="0.3">
      <c r="B59" s="84" t="s">
        <v>52</v>
      </c>
      <c r="C59" s="104" t="s">
        <v>64</v>
      </c>
      <c r="D59" s="21">
        <f>(1/6)*(Vcc_max^2)/Rlstart</f>
        <v>7.2599999999999989</v>
      </c>
      <c r="E59" s="33" t="s">
        <v>32</v>
      </c>
      <c r="F59" s="34"/>
    </row>
    <row r="60" spans="2:19" ht="18" customHeight="1" x14ac:dyDescent="0.3">
      <c r="B60" s="84" t="s">
        <v>54</v>
      </c>
      <c r="C60" s="104" t="s">
        <v>53</v>
      </c>
      <c r="D60" s="21">
        <f>D56+D59</f>
        <v>10.610769230769229</v>
      </c>
      <c r="E60" s="33" t="s">
        <v>32</v>
      </c>
      <c r="F60" s="34"/>
    </row>
    <row r="61" spans="2:19" ht="27" customHeight="1" x14ac:dyDescent="0.3">
      <c r="B61" s="84"/>
      <c r="C61" s="104" t="s">
        <v>204</v>
      </c>
      <c r="D61" s="21">
        <f>INDEX('Thermal Shutdown Limit Plot'!A3:E25,MATCH(Tchg_dvdt*(1+F55),'Thermal Shutdown Limit Plot'!E3:E25,-1),1)*0.8</f>
        <v>24</v>
      </c>
      <c r="E61" s="33" t="s">
        <v>32</v>
      </c>
      <c r="F61" s="35">
        <v>0.15</v>
      </c>
    </row>
    <row r="62" spans="2:19" ht="37.200000000000003" x14ac:dyDescent="0.3">
      <c r="B62" s="84"/>
      <c r="C62" s="232" t="s">
        <v>207</v>
      </c>
      <c r="D62" s="262" t="str">
        <f>IF(D60&lt;(D61),"YES","NO, Increase Rlstart and/or Tchg_req; and/or Reduce Cout")</f>
        <v>YES</v>
      </c>
      <c r="E62" s="263"/>
      <c r="F62" s="263"/>
      <c r="G62" s="263"/>
      <c r="H62" s="263"/>
      <c r="I62" s="263"/>
      <c r="J62" s="263"/>
      <c r="K62" s="263"/>
    </row>
    <row r="63" spans="2:19" ht="18" customHeight="1" x14ac:dyDescent="0.3">
      <c r="B63" s="28"/>
      <c r="C63" s="108"/>
      <c r="D63" s="27"/>
      <c r="E63" s="28"/>
      <c r="F63" s="29"/>
    </row>
    <row r="64" spans="2:19" ht="18" customHeight="1" x14ac:dyDescent="0.3">
      <c r="B64" s="261" t="s">
        <v>48</v>
      </c>
      <c r="C64" s="261"/>
      <c r="D64" s="261"/>
      <c r="E64" s="261"/>
      <c r="F64" s="83"/>
    </row>
    <row r="65" spans="2:7" ht="18" customHeight="1" x14ac:dyDescent="0.3">
      <c r="B65" s="92" t="s">
        <v>0</v>
      </c>
      <c r="C65" s="115" t="s">
        <v>1</v>
      </c>
      <c r="D65" s="93" t="s">
        <v>2</v>
      </c>
      <c r="E65" s="94" t="s">
        <v>3</v>
      </c>
      <c r="F65" s="92" t="s">
        <v>65</v>
      </c>
    </row>
    <row r="66" spans="2:7" ht="18" customHeight="1" x14ac:dyDescent="0.3">
      <c r="B66" s="84" t="s">
        <v>40</v>
      </c>
      <c r="C66" s="104" t="s">
        <v>42</v>
      </c>
      <c r="D66" s="21">
        <f>Imax*Rdson_25deg</f>
        <v>136.9</v>
      </c>
      <c r="E66" s="31" t="s">
        <v>41</v>
      </c>
      <c r="F66" s="32"/>
    </row>
    <row r="67" spans="2:7" ht="18" customHeight="1" x14ac:dyDescent="0.3">
      <c r="B67" s="84" t="s">
        <v>106</v>
      </c>
      <c r="C67" s="104" t="s">
        <v>43</v>
      </c>
      <c r="D67" s="21">
        <f>Imax^2*Rdson_25deg</f>
        <v>506.53000000000003</v>
      </c>
      <c r="E67" s="31" t="s">
        <v>44</v>
      </c>
      <c r="F67" s="32"/>
    </row>
    <row r="68" spans="2:7" ht="18" customHeight="1" x14ac:dyDescent="0.3">
      <c r="B68" s="37"/>
      <c r="C68" s="116"/>
      <c r="D68" s="27"/>
      <c r="E68" s="38"/>
      <c r="F68" s="29"/>
      <c r="G68" s="79"/>
    </row>
    <row r="69" spans="2:7" ht="18" customHeight="1" x14ac:dyDescent="0.3">
      <c r="B69" s="28"/>
      <c r="C69" s="108"/>
      <c r="D69" s="27"/>
      <c r="E69" s="38"/>
      <c r="F69" s="29"/>
    </row>
    <row r="70" spans="2:7" ht="18" customHeight="1" x14ac:dyDescent="0.3">
      <c r="B70" s="28"/>
      <c r="C70" s="108"/>
      <c r="D70" s="27"/>
      <c r="E70" s="38"/>
      <c r="F70" s="29"/>
    </row>
    <row r="71" spans="2:7" ht="18" customHeight="1" x14ac:dyDescent="0.3">
      <c r="B71" s="39" t="s">
        <v>20</v>
      </c>
      <c r="C71" s="108"/>
      <c r="D71" s="40"/>
      <c r="E71" s="28"/>
      <c r="F71" s="29"/>
    </row>
    <row r="72" spans="2:7" ht="18" customHeight="1" x14ac:dyDescent="0.3">
      <c r="B72" s="99" t="s">
        <v>39</v>
      </c>
      <c r="C72" s="108"/>
      <c r="D72" s="40"/>
      <c r="E72" s="28"/>
      <c r="F72" s="29"/>
    </row>
    <row r="73" spans="2:7" ht="18" customHeight="1" x14ac:dyDescent="0.3">
      <c r="B73" s="95" t="s">
        <v>0</v>
      </c>
      <c r="C73" s="117" t="s">
        <v>1</v>
      </c>
      <c r="D73" s="96" t="s">
        <v>2</v>
      </c>
      <c r="E73" s="97" t="s">
        <v>3</v>
      </c>
      <c r="F73" s="95" t="s">
        <v>65</v>
      </c>
    </row>
    <row r="74" spans="2:7" ht="18" customHeight="1" x14ac:dyDescent="0.3">
      <c r="B74" s="89" t="s">
        <v>21</v>
      </c>
      <c r="C74" s="113" t="s">
        <v>22</v>
      </c>
      <c r="D74" s="41">
        <v>20</v>
      </c>
      <c r="E74" s="31" t="s">
        <v>6</v>
      </c>
      <c r="F74" s="32"/>
    </row>
    <row r="75" spans="2:7" ht="18" customHeight="1" x14ac:dyDescent="0.3">
      <c r="B75" s="89" t="s">
        <v>23</v>
      </c>
      <c r="C75" s="113" t="s">
        <v>24</v>
      </c>
      <c r="D75" s="41">
        <v>5</v>
      </c>
      <c r="E75" s="31" t="s">
        <v>4</v>
      </c>
      <c r="F75" s="32"/>
    </row>
    <row r="76" spans="2:7" ht="18" customHeight="1" x14ac:dyDescent="0.3">
      <c r="B76" s="89" t="s">
        <v>28</v>
      </c>
      <c r="C76" s="113" t="s">
        <v>29</v>
      </c>
      <c r="D76" s="105">
        <f>INDEX(R3:R14,MATCH(D5,M3:M14))</f>
        <v>37</v>
      </c>
      <c r="E76" s="31" t="s">
        <v>27</v>
      </c>
      <c r="F76" s="32"/>
    </row>
    <row r="77" spans="2:7" ht="18" customHeight="1" x14ac:dyDescent="0.3">
      <c r="B77" s="89" t="s">
        <v>26</v>
      </c>
      <c r="C77" s="113" t="s">
        <v>25</v>
      </c>
      <c r="D77" s="105">
        <f>INDEX(S3:S14,MATCH(D5,M3:M14))</f>
        <v>53</v>
      </c>
      <c r="E77" s="31" t="s">
        <v>27</v>
      </c>
      <c r="F77" s="32"/>
    </row>
    <row r="78" spans="2:7" ht="18" customHeight="1" x14ac:dyDescent="0.3">
      <c r="B78" s="99" t="s">
        <v>38</v>
      </c>
      <c r="C78" s="108"/>
      <c r="D78" s="40"/>
      <c r="E78" s="26"/>
      <c r="F78" s="42"/>
    </row>
    <row r="79" spans="2:7" ht="18" customHeight="1" x14ac:dyDescent="0.3">
      <c r="B79" s="89" t="s">
        <v>30</v>
      </c>
      <c r="C79" s="113" t="s">
        <v>33</v>
      </c>
      <c r="D79" s="41">
        <v>150</v>
      </c>
      <c r="E79" s="43" t="s">
        <v>80</v>
      </c>
      <c r="F79" s="44"/>
    </row>
    <row r="80" spans="2:7" ht="18" customHeight="1" x14ac:dyDescent="0.3">
      <c r="B80" s="89" t="s">
        <v>19</v>
      </c>
      <c r="C80" s="113" t="s">
        <v>31</v>
      </c>
      <c r="D80" s="41">
        <v>125</v>
      </c>
      <c r="E80" s="43" t="s">
        <v>80</v>
      </c>
      <c r="F80" s="44"/>
    </row>
    <row r="81" spans="2:6" ht="18" customHeight="1" x14ac:dyDescent="0.3">
      <c r="B81" s="89" t="s">
        <v>81</v>
      </c>
      <c r="C81" s="113" t="s">
        <v>34</v>
      </c>
      <c r="D81" s="41">
        <v>73.3</v>
      </c>
      <c r="E81" s="43" t="s">
        <v>82</v>
      </c>
      <c r="F81" s="44"/>
    </row>
    <row r="82" spans="2:6" ht="18" customHeight="1" x14ac:dyDescent="0.3">
      <c r="B82" s="89" t="s">
        <v>83</v>
      </c>
      <c r="C82" s="113" t="s">
        <v>35</v>
      </c>
      <c r="D82" s="41">
        <v>65.599999999999994</v>
      </c>
      <c r="E82" s="43" t="s">
        <v>82</v>
      </c>
      <c r="F82" s="44"/>
    </row>
    <row r="83" spans="2:6" ht="18" customHeight="1" x14ac:dyDescent="0.3">
      <c r="B83" s="89" t="s">
        <v>84</v>
      </c>
      <c r="C83" s="113" t="s">
        <v>36</v>
      </c>
      <c r="D83" s="41">
        <v>9.8000000000000007</v>
      </c>
      <c r="E83" s="43" t="s">
        <v>82</v>
      </c>
      <c r="F83" s="44"/>
    </row>
    <row r="84" spans="2:6" ht="18" customHeight="1" x14ac:dyDescent="0.3">
      <c r="B84" s="99" t="s">
        <v>55</v>
      </c>
      <c r="C84" s="108"/>
      <c r="D84" s="40"/>
      <c r="E84" s="26"/>
      <c r="F84" s="42"/>
    </row>
    <row r="85" spans="2:6" ht="18" customHeight="1" x14ac:dyDescent="0.3">
      <c r="B85" s="89" t="s">
        <v>85</v>
      </c>
      <c r="C85" s="113" t="s">
        <v>194</v>
      </c>
      <c r="D85" s="45">
        <v>1.1000000000000001</v>
      </c>
      <c r="E85" s="31" t="s">
        <v>6</v>
      </c>
      <c r="F85" s="32">
        <v>6.3E-2</v>
      </c>
    </row>
    <row r="86" spans="2:6" ht="18" customHeight="1" x14ac:dyDescent="0.3">
      <c r="B86" s="89" t="s">
        <v>158</v>
      </c>
      <c r="C86" s="113" t="s">
        <v>193</v>
      </c>
      <c r="D86" s="45">
        <v>1.2</v>
      </c>
      <c r="E86" s="31" t="s">
        <v>6</v>
      </c>
      <c r="F86" s="32">
        <v>5.8000000000000003E-2</v>
      </c>
    </row>
    <row r="87" spans="2:6" ht="18" customHeight="1" x14ac:dyDescent="0.3">
      <c r="B87" s="89" t="s">
        <v>162</v>
      </c>
      <c r="C87" s="113" t="s">
        <v>160</v>
      </c>
      <c r="D87" s="45">
        <v>276</v>
      </c>
      <c r="E87" s="31" t="s">
        <v>161</v>
      </c>
      <c r="F87" s="32">
        <v>7.3999999999999996E-2</v>
      </c>
    </row>
  </sheetData>
  <protectedRanges>
    <protectedRange sqref="D52 F52 D48 D47 D37 F37 D20 F20 D17 F17 D12 D11 D10 D9 F9 D7 D6 D5" name="UserInputs"/>
  </protectedRanges>
  <mergeCells count="6">
    <mergeCell ref="B1:C1"/>
    <mergeCell ref="B34:C34"/>
    <mergeCell ref="B64:E64"/>
    <mergeCell ref="B58:E58"/>
    <mergeCell ref="B41:C41"/>
    <mergeCell ref="D62:K62"/>
  </mergeCells>
  <conditionalFormatting sqref="D10">
    <cfRule type="cellIs" dxfId="12" priority="7" stopIfTrue="1" operator="lessThan">
      <formula>$G$10</formula>
    </cfRule>
    <cfRule type="expression" dxfId="11" priority="18" stopIfTrue="1">
      <formula>$D$62&lt;&gt;"YES"</formula>
    </cfRule>
  </conditionalFormatting>
  <conditionalFormatting sqref="D11">
    <cfRule type="cellIs" dxfId="10" priority="15" operator="greaterThan">
      <formula>4</formula>
    </cfRule>
  </conditionalFormatting>
  <conditionalFormatting sqref="D7">
    <cfRule type="cellIs" dxfId="9" priority="12" operator="lessThan">
      <formula>$D$8</formula>
    </cfRule>
  </conditionalFormatting>
  <conditionalFormatting sqref="D62">
    <cfRule type="cellIs" dxfId="8" priority="10" stopIfTrue="1" operator="equal">
      <formula>"YES"</formula>
    </cfRule>
    <cfRule type="cellIs" dxfId="7" priority="11" operator="notEqual">
      <formula>"YES"</formula>
    </cfRule>
  </conditionalFormatting>
  <conditionalFormatting sqref="D14">
    <cfRule type="cellIs" dxfId="6" priority="19" operator="lessThan">
      <formula>$D$6</formula>
    </cfRule>
  </conditionalFormatting>
  <conditionalFormatting sqref="D6">
    <cfRule type="cellIs" dxfId="5" priority="20" operator="greaterThan">
      <formula>$D$13</formula>
    </cfRule>
  </conditionalFormatting>
  <conditionalFormatting sqref="D9">
    <cfRule type="expression" dxfId="4" priority="5" stopIfTrue="1">
      <formula>$D$62&lt;&gt;"YES"</formula>
    </cfRule>
  </conditionalFormatting>
  <conditionalFormatting sqref="D48">
    <cfRule type="cellIs" dxfId="3" priority="4" operator="greaterThan">
      <formula>$D$38</formula>
    </cfRule>
  </conditionalFormatting>
  <conditionalFormatting sqref="D47">
    <cfRule type="expression" dxfId="2" priority="3">
      <formula>$D$62&lt;&gt;"YES"</formula>
    </cfRule>
    <cfRule type="cellIs" dxfId="1" priority="2" operator="greaterThan">
      <formula>$D$55</formula>
    </cfRule>
  </conditionalFormatting>
  <conditionalFormatting sqref="D54">
    <cfRule type="cellIs" dxfId="0" priority="1" operator="equal">
      <formula>TRUE</formula>
    </cfRule>
  </conditionalFormatting>
  <dataValidations xWindow="740" yWindow="799" count="12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48">
      <formula1>D38</formula1>
    </dataValidation>
    <dataValidation errorTitle="Error (Reenter the Value)" error="Only values greater than UVref will be accepted" promptTitle="Restriction" prompt="Please enter a value greater than UVref" sqref="D8 D14"/>
    <dataValidation type="decimal" operator="greaterThan" showInputMessage="1" showErrorMessage="1" errorTitle="ERROR!!" error="Start-up Load Resistor is &lt; VCC(max)/Imax, this will prevent start-up." prompt="Start-up Load must be &gt; VCC(max)/Imax" sqref="D10">
      <formula1>G10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47">
      <formula1>D46</formula1>
    </dataValidation>
    <dataValidation type="decimal" allowBlank="1" showInputMessage="1" showErrorMessage="1" error="2 &lt;= Ilimit &lt;= 5" prompt="0.5 &lt;= Ilimit &lt;= 4" sqref="D12">
      <formula1>2</formula1>
      <formula2>5</formula2>
    </dataValidation>
    <dataValidation type="decimal" operator="lessThanOrEqual" allowBlank="1" showInputMessage="1" showErrorMessage="1" error="Imax &lt;= 4" prompt="Imax &lt;= 4" sqref="D11">
      <formula1>4</formula1>
    </dataValidation>
    <dataValidation type="decimal" operator="lessThanOrEqual" showInputMessage="1" showErrorMessage="1" error="VIN(operating max) must be &lt; Vovc" prompt="VIN(max) must be &lt; VOVC" sqref="D6">
      <formula1>D13</formula1>
    </dataValidation>
    <dataValidation type="list" allowBlank="1" showInputMessage="1" showErrorMessage="1" error="Choose from the drop-down list" sqref="D5">
      <formula1>$M$3:$M$14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55">
      <formula1>K55&lt;K44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54">
      <formula1>K54&gt;K53</formula1>
    </dataValidation>
    <dataValidation allowBlank="1" showInputMessage="1" showErrorMessage="1" prompt="Considered 20% as design margin" sqref="D62"/>
    <dataValidation type="decimal" operator="greaterThanOrEqual" allowBlank="1" showInputMessage="1" showErrorMessage="1" error="Use OPEN or &gt;=3.3nF" prompt="Use OPEN or &gt;=3.3nF" sqref="D52">
      <formula1>3.3</formula1>
    </dataValidation>
  </dataValidations>
  <hyperlinks>
    <hyperlink ref="C10" r:id="rId1" display="Load at start-up (assumed to be resistive, Refer to Section 9.2.2.3.2 in Datasheet)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94"/>
  <sheetViews>
    <sheetView showGridLines="0" zoomScale="85" zoomScaleNormal="85" workbookViewId="0">
      <selection activeCell="E10" sqref="E10"/>
    </sheetView>
  </sheetViews>
  <sheetFormatPr defaultColWidth="9.109375" defaultRowHeight="14.4" x14ac:dyDescent="0.3"/>
  <cols>
    <col min="1" max="1" width="17.6640625" style="7" customWidth="1"/>
    <col min="2" max="2" width="13.33203125" style="7" customWidth="1"/>
    <col min="3" max="3" width="11.6640625" style="7" customWidth="1"/>
    <col min="4" max="4" width="16.88671875" style="7" bestFit="1" customWidth="1"/>
    <col min="5" max="5" width="10.44140625" style="7" bestFit="1" customWidth="1"/>
    <col min="6" max="6" width="8.109375" style="67" customWidth="1"/>
    <col min="7" max="7" width="13.88671875" style="67" customWidth="1"/>
    <col min="8" max="16384" width="9.109375" style="67"/>
  </cols>
  <sheetData>
    <row r="1" spans="1:13" ht="15" thickBot="1" x14ac:dyDescent="0.35">
      <c r="A1" s="133" t="s">
        <v>168</v>
      </c>
      <c r="B1" s="134"/>
      <c r="C1" s="134"/>
      <c r="D1" s="134"/>
      <c r="G1" s="68" t="s">
        <v>89</v>
      </c>
      <c r="I1" s="66" t="s">
        <v>88</v>
      </c>
      <c r="J1" s="69"/>
      <c r="K1" s="69"/>
      <c r="L1" s="69"/>
      <c r="M1" s="69"/>
    </row>
    <row r="2" spans="1:13" ht="16.5" customHeight="1" thickBot="1" x14ac:dyDescent="0.4">
      <c r="A2" s="135" t="s">
        <v>90</v>
      </c>
      <c r="B2" s="136" t="s">
        <v>91</v>
      </c>
      <c r="C2" s="136" t="s">
        <v>92</v>
      </c>
      <c r="D2" s="136" t="s">
        <v>124</v>
      </c>
      <c r="E2" s="137" t="s">
        <v>93</v>
      </c>
      <c r="I2" s="70"/>
    </row>
    <row r="3" spans="1:13" ht="16.5" customHeight="1" x14ac:dyDescent="0.3">
      <c r="A3" s="138">
        <v>1.3</v>
      </c>
      <c r="B3" s="139"/>
      <c r="C3" s="140"/>
      <c r="D3" s="140"/>
      <c r="E3" s="141">
        <v>10000</v>
      </c>
      <c r="F3" s="122"/>
      <c r="G3" s="72" t="s">
        <v>94</v>
      </c>
      <c r="H3" s="67" t="s">
        <v>95</v>
      </c>
      <c r="I3" s="73" t="s">
        <v>96</v>
      </c>
    </row>
    <row r="4" spans="1:13" x14ac:dyDescent="0.3">
      <c r="A4" s="138">
        <v>2</v>
      </c>
      <c r="B4" s="127"/>
      <c r="C4" s="128"/>
      <c r="D4" s="124">
        <v>10000</v>
      </c>
      <c r="E4" s="141">
        <v>155.9617044</v>
      </c>
      <c r="F4" s="122"/>
      <c r="H4" s="67" t="s">
        <v>154</v>
      </c>
      <c r="I4" s="73" t="s">
        <v>155</v>
      </c>
    </row>
    <row r="5" spans="1:13" x14ac:dyDescent="0.3">
      <c r="A5" s="138">
        <v>3</v>
      </c>
      <c r="B5" s="127"/>
      <c r="C5" s="128"/>
      <c r="D5" s="124">
        <v>655.228025</v>
      </c>
      <c r="E5" s="141">
        <v>54.852824750000003</v>
      </c>
      <c r="F5" s="122"/>
      <c r="I5" s="70"/>
    </row>
    <row r="6" spans="1:13" x14ac:dyDescent="0.3">
      <c r="A6" s="138">
        <v>4</v>
      </c>
      <c r="B6" s="127"/>
      <c r="C6" s="127">
        <v>10000</v>
      </c>
      <c r="D6" s="124">
        <v>154.50472500000001</v>
      </c>
      <c r="E6" s="141">
        <v>27.434206749999998</v>
      </c>
      <c r="F6" s="122"/>
      <c r="I6" s="73"/>
    </row>
    <row r="7" spans="1:13" x14ac:dyDescent="0.3">
      <c r="A7" s="142">
        <v>5</v>
      </c>
      <c r="B7" s="124">
        <v>10000</v>
      </c>
      <c r="C7" s="127">
        <v>570.83839499999999</v>
      </c>
      <c r="D7" s="124">
        <v>84.796535000000006</v>
      </c>
      <c r="E7" s="141">
        <v>16.567898</v>
      </c>
      <c r="F7" s="102"/>
      <c r="I7" s="73"/>
    </row>
    <row r="8" spans="1:13" x14ac:dyDescent="0.3">
      <c r="A8" s="142">
        <v>6</v>
      </c>
      <c r="B8" s="124">
        <v>2995.8713000000002</v>
      </c>
      <c r="C8" s="127">
        <v>232.87166000000002</v>
      </c>
      <c r="D8" s="124">
        <v>52.843837499999999</v>
      </c>
      <c r="E8" s="141">
        <v>10.186230500000001</v>
      </c>
      <c r="F8" s="102"/>
      <c r="I8" s="70"/>
    </row>
    <row r="9" spans="1:13" x14ac:dyDescent="0.3">
      <c r="A9" s="142">
        <v>7</v>
      </c>
      <c r="B9" s="124">
        <v>663.55936299999996</v>
      </c>
      <c r="C9" s="127">
        <v>124.78810999999999</v>
      </c>
      <c r="D9" s="124">
        <v>30.773124999999997</v>
      </c>
      <c r="E9" s="141">
        <v>6.0791437500000001</v>
      </c>
      <c r="F9" s="122"/>
      <c r="I9" s="70"/>
    </row>
    <row r="10" spans="1:13" x14ac:dyDescent="0.3">
      <c r="A10" s="142">
        <v>8</v>
      </c>
      <c r="B10" s="124">
        <v>341.31643000000003</v>
      </c>
      <c r="C10" s="127">
        <v>82.305753800000005</v>
      </c>
      <c r="D10" s="124">
        <v>22.688098799999999</v>
      </c>
      <c r="E10" s="141">
        <v>4.0288073999999998</v>
      </c>
      <c r="F10" s="102"/>
      <c r="G10" s="145"/>
      <c r="I10" s="74"/>
    </row>
    <row r="11" spans="1:13" x14ac:dyDescent="0.3">
      <c r="A11" s="142">
        <v>9</v>
      </c>
      <c r="B11" s="124">
        <v>182.82688250000001</v>
      </c>
      <c r="C11" s="127">
        <v>56.522955000000003</v>
      </c>
      <c r="D11" s="124">
        <v>14.948829</v>
      </c>
      <c r="E11" s="141">
        <v>2.9109050000000001</v>
      </c>
      <c r="F11" s="102"/>
      <c r="I11" s="74"/>
    </row>
    <row r="12" spans="1:13" x14ac:dyDescent="0.3">
      <c r="A12" s="142">
        <v>10</v>
      </c>
      <c r="B12" s="124">
        <v>125.75094249999999</v>
      </c>
      <c r="C12" s="127">
        <v>42.163403699999996</v>
      </c>
      <c r="D12" s="124">
        <v>11.496589</v>
      </c>
      <c r="E12" s="141">
        <v>2.2499137999999999</v>
      </c>
      <c r="F12" s="102"/>
    </row>
    <row r="13" spans="1:13" x14ac:dyDescent="0.3">
      <c r="A13" s="142">
        <v>12</v>
      </c>
      <c r="B13" s="124">
        <v>74.719752499999998</v>
      </c>
      <c r="C13" s="129">
        <v>23.976691500000001</v>
      </c>
      <c r="D13" s="124">
        <v>6.4930750000000002</v>
      </c>
      <c r="E13" s="141">
        <v>1.5131305500000001</v>
      </c>
      <c r="F13" s="102"/>
    </row>
    <row r="14" spans="1:13" x14ac:dyDescent="0.3">
      <c r="A14" s="142">
        <v>14</v>
      </c>
      <c r="B14" s="124">
        <v>47.603325000000005</v>
      </c>
      <c r="C14" s="129">
        <v>16.014054000000002</v>
      </c>
      <c r="D14" s="124">
        <v>4.1210953999999997</v>
      </c>
      <c r="E14" s="141">
        <v>1.1214251</v>
      </c>
      <c r="F14" s="102"/>
    </row>
    <row r="15" spans="1:13" x14ac:dyDescent="0.3">
      <c r="A15" s="142">
        <v>16</v>
      </c>
      <c r="B15" s="124">
        <v>32.661877499999996</v>
      </c>
      <c r="C15" s="127">
        <v>10.25703875</v>
      </c>
      <c r="D15" s="124">
        <v>2.8188929999999996</v>
      </c>
      <c r="E15" s="141">
        <v>0.86391300000000004</v>
      </c>
      <c r="F15" s="102"/>
    </row>
    <row r="16" spans="1:13" x14ac:dyDescent="0.3">
      <c r="A16" s="142">
        <v>18</v>
      </c>
      <c r="B16" s="124">
        <v>23.435396300000001</v>
      </c>
      <c r="C16" s="127">
        <v>6.3458949999999996</v>
      </c>
      <c r="D16" s="124">
        <v>2.1710429499999999</v>
      </c>
      <c r="E16" s="141">
        <v>0.73755095000000004</v>
      </c>
      <c r="F16" s="122"/>
    </row>
    <row r="17" spans="1:6" x14ac:dyDescent="0.3">
      <c r="A17" s="142">
        <v>20</v>
      </c>
      <c r="B17" s="124">
        <v>17.874555000000001</v>
      </c>
      <c r="C17" s="127">
        <v>5.03228075</v>
      </c>
      <c r="D17" s="124">
        <v>1.7084022000000001</v>
      </c>
      <c r="E17" s="141">
        <v>0.62530934999999999</v>
      </c>
      <c r="F17" s="122"/>
    </row>
    <row r="18" spans="1:6" x14ac:dyDescent="0.3">
      <c r="A18" s="142">
        <v>25</v>
      </c>
      <c r="B18" s="124">
        <v>9.6214149999999989</v>
      </c>
      <c r="C18" s="127">
        <v>3.0121934000000001</v>
      </c>
      <c r="D18" s="124">
        <v>1.1080586000000001</v>
      </c>
      <c r="E18" s="141">
        <v>0.45868734999999999</v>
      </c>
      <c r="F18" s="122"/>
    </row>
    <row r="19" spans="1:6" x14ac:dyDescent="0.3">
      <c r="A19" s="142">
        <v>30</v>
      </c>
      <c r="B19" s="124">
        <v>5.6002910000000004</v>
      </c>
      <c r="C19" s="127">
        <v>1.9894245999999998</v>
      </c>
      <c r="D19" s="124">
        <v>0.79214814999999994</v>
      </c>
      <c r="E19" s="141">
        <v>0.36060215000000001</v>
      </c>
      <c r="F19" s="102"/>
    </row>
    <row r="20" spans="1:6" x14ac:dyDescent="0.3">
      <c r="A20" s="142">
        <v>35</v>
      </c>
      <c r="B20" s="124">
        <v>3.6755021999999999</v>
      </c>
      <c r="C20" s="127">
        <v>1.5958246</v>
      </c>
      <c r="D20" s="124">
        <v>0.6570878</v>
      </c>
      <c r="E20" s="141">
        <v>0.28772419999999999</v>
      </c>
      <c r="F20" s="122"/>
    </row>
    <row r="21" spans="1:6" ht="15" x14ac:dyDescent="0.25">
      <c r="A21" s="142">
        <v>40</v>
      </c>
      <c r="B21" s="124">
        <v>2.6514305999999999</v>
      </c>
      <c r="C21" s="127">
        <v>1.2393190000000001</v>
      </c>
      <c r="D21" s="124">
        <v>0.53989175</v>
      </c>
      <c r="E21" s="141">
        <v>0.24528175000000002</v>
      </c>
      <c r="F21" s="122"/>
    </row>
    <row r="22" spans="1:6" ht="15" x14ac:dyDescent="0.25">
      <c r="A22" s="142">
        <v>45</v>
      </c>
      <c r="B22" s="124">
        <v>2.0066746000000002</v>
      </c>
      <c r="C22" s="127">
        <v>0.94273899999999999</v>
      </c>
      <c r="D22" s="124">
        <v>0.45751454999999996</v>
      </c>
      <c r="E22" s="141">
        <v>0.21167660000000002</v>
      </c>
      <c r="F22" s="122"/>
    </row>
    <row r="23" spans="1:6" ht="15" x14ac:dyDescent="0.25">
      <c r="A23" s="142">
        <v>50</v>
      </c>
      <c r="B23" s="124">
        <v>1.5981430000000001</v>
      </c>
      <c r="C23" s="127">
        <v>0.80745980000000006</v>
      </c>
      <c r="D23" s="124">
        <v>0.3899262</v>
      </c>
      <c r="E23" s="141">
        <v>0.1857066</v>
      </c>
      <c r="F23" s="122"/>
    </row>
    <row r="24" spans="1:6" ht="15" x14ac:dyDescent="0.25">
      <c r="A24" s="142">
        <v>55</v>
      </c>
      <c r="B24" s="124">
        <v>1.2747162000000001</v>
      </c>
      <c r="C24" s="127">
        <v>0.69636215000000001</v>
      </c>
      <c r="D24" s="124">
        <v>0.34534100000000001</v>
      </c>
      <c r="E24" s="141">
        <v>0.1644362</v>
      </c>
      <c r="F24" s="122"/>
    </row>
    <row r="25" spans="1:6" ht="15" x14ac:dyDescent="0.25">
      <c r="A25" s="143">
        <v>60</v>
      </c>
      <c r="B25" s="130">
        <v>1.0772005999999998</v>
      </c>
      <c r="C25" s="131">
        <v>0.59883494999999998</v>
      </c>
      <c r="D25" s="130">
        <v>0.30465775</v>
      </c>
      <c r="E25" s="144">
        <v>0.14962619999999999</v>
      </c>
      <c r="F25" s="122"/>
    </row>
    <row r="26" spans="1:6" ht="15" x14ac:dyDescent="0.25">
      <c r="B26" s="71"/>
      <c r="C26" s="71"/>
      <c r="D26" s="71"/>
    </row>
    <row r="27" spans="1:6" ht="15" x14ac:dyDescent="0.25">
      <c r="B27" s="71"/>
      <c r="C27" s="71"/>
      <c r="D27" s="125"/>
    </row>
    <row r="28" spans="1:6" ht="15" x14ac:dyDescent="0.25">
      <c r="B28" s="132" t="s">
        <v>156</v>
      </c>
      <c r="C28" s="132" t="s">
        <v>157</v>
      </c>
      <c r="D28" s="71"/>
    </row>
    <row r="29" spans="1:6" ht="15" x14ac:dyDescent="0.25">
      <c r="B29" s="132">
        <f>'Calculation Sheet'!D60</f>
        <v>10.610769230769229</v>
      </c>
      <c r="C29" s="132">
        <f>Tchg_dvdt</f>
        <v>0.26</v>
      </c>
      <c r="D29" s="71"/>
    </row>
    <row r="30" spans="1:6" ht="15" x14ac:dyDescent="0.25">
      <c r="B30" s="71"/>
      <c r="C30" s="71"/>
      <c r="D30" s="71"/>
    </row>
    <row r="31" spans="1:6" ht="15" x14ac:dyDescent="0.25">
      <c r="B31" s="71"/>
      <c r="C31" s="71"/>
      <c r="D31" s="71"/>
    </row>
    <row r="32" spans="1:6" x14ac:dyDescent="0.3">
      <c r="B32" s="71"/>
      <c r="C32" s="71"/>
      <c r="D32" s="71"/>
    </row>
    <row r="33" spans="2:4" x14ac:dyDescent="0.3">
      <c r="B33" s="71"/>
      <c r="C33" s="71"/>
      <c r="D33" s="71"/>
    </row>
    <row r="34" spans="2:4" x14ac:dyDescent="0.3">
      <c r="B34" s="71"/>
      <c r="C34" s="71"/>
      <c r="D34" s="71"/>
    </row>
    <row r="35" spans="2:4" x14ac:dyDescent="0.3">
      <c r="B35" s="71"/>
      <c r="C35" s="71"/>
      <c r="D35" s="71"/>
    </row>
    <row r="36" spans="2:4" x14ac:dyDescent="0.3">
      <c r="B36" s="71"/>
      <c r="C36" s="71"/>
      <c r="D36" s="71"/>
    </row>
    <row r="37" spans="2:4" x14ac:dyDescent="0.3">
      <c r="B37" s="71"/>
      <c r="C37" s="71"/>
      <c r="D37" s="71"/>
    </row>
    <row r="38" spans="2:4" x14ac:dyDescent="0.3">
      <c r="B38" s="71"/>
      <c r="C38" s="71"/>
      <c r="D38" s="71"/>
    </row>
    <row r="39" spans="2:4" x14ac:dyDescent="0.3">
      <c r="B39" s="71"/>
      <c r="C39" s="71"/>
      <c r="D39" s="71"/>
    </row>
    <row r="40" spans="2:4" x14ac:dyDescent="0.3">
      <c r="B40" s="71"/>
      <c r="C40" s="71"/>
      <c r="D40" s="71"/>
    </row>
    <row r="41" spans="2:4" x14ac:dyDescent="0.3">
      <c r="B41" s="71"/>
      <c r="C41" s="71"/>
      <c r="D41" s="71"/>
    </row>
    <row r="42" spans="2:4" x14ac:dyDescent="0.3">
      <c r="B42" s="71"/>
      <c r="C42" s="71"/>
      <c r="D42" s="71"/>
    </row>
    <row r="43" spans="2:4" x14ac:dyDescent="0.3">
      <c r="B43" s="71"/>
      <c r="C43" s="71"/>
      <c r="D43" s="71"/>
    </row>
    <row r="44" spans="2:4" x14ac:dyDescent="0.3">
      <c r="B44" s="71"/>
      <c r="C44" s="71"/>
      <c r="D44" s="71"/>
    </row>
    <row r="45" spans="2:4" x14ac:dyDescent="0.3">
      <c r="B45" s="71"/>
      <c r="C45" s="71"/>
      <c r="D45" s="71"/>
    </row>
    <row r="46" spans="2:4" x14ac:dyDescent="0.3">
      <c r="B46" s="71"/>
      <c r="C46" s="71"/>
      <c r="D46" s="71"/>
    </row>
    <row r="47" spans="2:4" x14ac:dyDescent="0.3">
      <c r="B47" s="71"/>
      <c r="C47" s="71"/>
      <c r="D47" s="71"/>
    </row>
    <row r="48" spans="2:4" x14ac:dyDescent="0.3">
      <c r="B48" s="71"/>
      <c r="C48" s="71"/>
      <c r="D48" s="71"/>
    </row>
    <row r="49" spans="1:4" x14ac:dyDescent="0.3">
      <c r="B49" s="71"/>
      <c r="C49" s="71"/>
      <c r="D49" s="71"/>
    </row>
    <row r="50" spans="1:4" x14ac:dyDescent="0.3">
      <c r="A50" s="126"/>
      <c r="B50" s="71"/>
      <c r="C50" s="71"/>
      <c r="D50" s="71"/>
    </row>
    <row r="51" spans="1:4" x14ac:dyDescent="0.3">
      <c r="A51" s="126"/>
      <c r="B51" s="71"/>
      <c r="C51" s="71"/>
      <c r="D51" s="71"/>
    </row>
    <row r="52" spans="1:4" x14ac:dyDescent="0.3">
      <c r="A52" s="126"/>
      <c r="B52" s="71"/>
      <c r="C52" s="71"/>
      <c r="D52" s="71"/>
    </row>
    <row r="53" spans="1:4" x14ac:dyDescent="0.3">
      <c r="A53" s="126"/>
      <c r="B53" s="71"/>
      <c r="C53" s="71"/>
      <c r="D53" s="71"/>
    </row>
    <row r="54" spans="1:4" x14ac:dyDescent="0.3">
      <c r="A54" s="126"/>
      <c r="B54" s="71"/>
      <c r="C54" s="71"/>
      <c r="D54" s="71"/>
    </row>
    <row r="55" spans="1:4" x14ac:dyDescent="0.3">
      <c r="A55" s="126"/>
      <c r="B55" s="71"/>
      <c r="C55" s="71"/>
      <c r="D55" s="71"/>
    </row>
    <row r="56" spans="1:4" x14ac:dyDescent="0.3">
      <c r="A56" s="126"/>
      <c r="B56" s="71"/>
      <c r="C56" s="71"/>
      <c r="D56" s="71"/>
    </row>
    <row r="57" spans="1:4" x14ac:dyDescent="0.3">
      <c r="A57" s="126"/>
      <c r="B57" s="71"/>
      <c r="C57" s="71"/>
      <c r="D57" s="71"/>
    </row>
    <row r="58" spans="1:4" x14ac:dyDescent="0.3">
      <c r="A58" s="126"/>
      <c r="B58" s="71"/>
      <c r="C58" s="71"/>
      <c r="D58" s="71"/>
    </row>
    <row r="59" spans="1:4" x14ac:dyDescent="0.3">
      <c r="A59" s="126"/>
      <c r="B59" s="71"/>
      <c r="C59" s="71"/>
      <c r="D59" s="71"/>
    </row>
    <row r="60" spans="1:4" x14ac:dyDescent="0.3">
      <c r="A60" s="126"/>
      <c r="B60" s="71"/>
      <c r="C60" s="71"/>
      <c r="D60" s="71"/>
    </row>
    <row r="61" spans="1:4" x14ac:dyDescent="0.3">
      <c r="A61" s="126"/>
      <c r="B61" s="71"/>
      <c r="C61" s="71"/>
      <c r="D61" s="71"/>
    </row>
    <row r="62" spans="1:4" x14ac:dyDescent="0.3">
      <c r="A62" s="126"/>
      <c r="B62" s="71"/>
      <c r="C62" s="71"/>
      <c r="D62" s="71"/>
    </row>
    <row r="63" spans="1:4" x14ac:dyDescent="0.3">
      <c r="A63" s="126"/>
      <c r="B63" s="71"/>
      <c r="C63" s="71"/>
      <c r="D63" s="71"/>
    </row>
    <row r="64" spans="1:4" x14ac:dyDescent="0.3">
      <c r="A64" s="126"/>
      <c r="B64" s="71"/>
      <c r="C64" s="71"/>
      <c r="D64" s="71"/>
    </row>
    <row r="65" spans="1:4" x14ac:dyDescent="0.3">
      <c r="A65" s="126"/>
      <c r="B65" s="71"/>
      <c r="C65" s="71"/>
      <c r="D65" s="71"/>
    </row>
    <row r="66" spans="1:4" x14ac:dyDescent="0.3">
      <c r="A66" s="126"/>
      <c r="B66" s="71"/>
      <c r="C66" s="71"/>
      <c r="D66" s="71"/>
    </row>
    <row r="67" spans="1:4" x14ac:dyDescent="0.3">
      <c r="A67" s="126"/>
      <c r="B67" s="71"/>
      <c r="C67" s="71"/>
      <c r="D67" s="71"/>
    </row>
    <row r="68" spans="1:4" x14ac:dyDescent="0.3">
      <c r="A68" s="126"/>
      <c r="B68" s="71"/>
      <c r="C68" s="71"/>
      <c r="D68" s="71"/>
    </row>
    <row r="69" spans="1:4" x14ac:dyDescent="0.3">
      <c r="A69" s="126"/>
      <c r="B69" s="71"/>
      <c r="C69" s="71"/>
      <c r="D69" s="71"/>
    </row>
    <row r="70" spans="1:4" x14ac:dyDescent="0.3">
      <c r="A70" s="126"/>
      <c r="B70" s="71"/>
      <c r="C70" s="71"/>
      <c r="D70" s="71"/>
    </row>
    <row r="71" spans="1:4" x14ac:dyDescent="0.3">
      <c r="B71" s="71"/>
      <c r="C71" s="71"/>
      <c r="D71" s="71"/>
    </row>
    <row r="72" spans="1:4" x14ac:dyDescent="0.3">
      <c r="B72" s="71"/>
      <c r="C72" s="71"/>
      <c r="D72" s="71"/>
    </row>
    <row r="73" spans="1:4" x14ac:dyDescent="0.3">
      <c r="B73" s="71"/>
      <c r="C73" s="71"/>
      <c r="D73" s="71"/>
    </row>
    <row r="74" spans="1:4" x14ac:dyDescent="0.3">
      <c r="B74" s="71"/>
      <c r="C74" s="71"/>
      <c r="D74" s="71"/>
    </row>
    <row r="75" spans="1:4" x14ac:dyDescent="0.3">
      <c r="B75" s="71"/>
      <c r="C75" s="71"/>
      <c r="D75" s="71"/>
    </row>
    <row r="76" spans="1:4" x14ac:dyDescent="0.3">
      <c r="B76" s="71"/>
      <c r="C76" s="71"/>
      <c r="D76" s="71"/>
    </row>
    <row r="77" spans="1:4" x14ac:dyDescent="0.3">
      <c r="B77" s="71"/>
      <c r="C77" s="71"/>
      <c r="D77" s="71"/>
    </row>
    <row r="78" spans="1:4" x14ac:dyDescent="0.3">
      <c r="B78" s="71"/>
      <c r="C78" s="71"/>
      <c r="D78" s="71"/>
    </row>
    <row r="79" spans="1:4" x14ac:dyDescent="0.3">
      <c r="B79" s="71"/>
      <c r="C79" s="71"/>
      <c r="D79" s="71"/>
    </row>
    <row r="80" spans="1:4" x14ac:dyDescent="0.3">
      <c r="B80" s="71"/>
      <c r="C80" s="71"/>
      <c r="D80" s="71"/>
    </row>
    <row r="81" spans="1:4" x14ac:dyDescent="0.3">
      <c r="B81" s="71"/>
      <c r="C81" s="71"/>
      <c r="D81" s="71"/>
    </row>
    <row r="82" spans="1:4" x14ac:dyDescent="0.3">
      <c r="B82" s="71"/>
      <c r="C82" s="71"/>
      <c r="D82" s="71"/>
    </row>
    <row r="83" spans="1:4" x14ac:dyDescent="0.3">
      <c r="B83" s="71"/>
      <c r="C83" s="71"/>
      <c r="D83" s="71"/>
    </row>
    <row r="84" spans="1:4" x14ac:dyDescent="0.3">
      <c r="B84" s="71"/>
      <c r="C84" s="71"/>
      <c r="D84" s="71"/>
    </row>
    <row r="85" spans="1:4" x14ac:dyDescent="0.3">
      <c r="B85" s="71"/>
      <c r="C85" s="71"/>
      <c r="D85" s="71"/>
    </row>
    <row r="86" spans="1:4" x14ac:dyDescent="0.3">
      <c r="B86" s="71"/>
      <c r="C86" s="71"/>
      <c r="D86" s="71"/>
    </row>
    <row r="87" spans="1:4" x14ac:dyDescent="0.3">
      <c r="B87" s="71"/>
      <c r="C87" s="71"/>
      <c r="D87" s="71"/>
    </row>
    <row r="88" spans="1:4" x14ac:dyDescent="0.3">
      <c r="B88" s="71"/>
      <c r="C88" s="71"/>
      <c r="D88" s="71"/>
    </row>
    <row r="89" spans="1:4" x14ac:dyDescent="0.3">
      <c r="B89" s="71"/>
      <c r="C89" s="71"/>
      <c r="D89" s="71"/>
    </row>
    <row r="90" spans="1:4" x14ac:dyDescent="0.3">
      <c r="B90" s="71"/>
      <c r="C90" s="71"/>
      <c r="D90" s="71"/>
    </row>
    <row r="91" spans="1:4" x14ac:dyDescent="0.3">
      <c r="B91" s="71"/>
      <c r="C91" s="71"/>
      <c r="D91" s="71"/>
    </row>
    <row r="92" spans="1:4" x14ac:dyDescent="0.3">
      <c r="B92" s="71"/>
      <c r="C92" s="71"/>
      <c r="D92" s="71"/>
    </row>
    <row r="93" spans="1:4" x14ac:dyDescent="0.3">
      <c r="A93" s="71"/>
      <c r="B93" s="71"/>
      <c r="C93" s="71"/>
      <c r="D93" s="71"/>
    </row>
    <row r="94" spans="1:4" x14ac:dyDescent="0.3">
      <c r="A94" s="71"/>
      <c r="B94" s="71"/>
      <c r="C94" s="71"/>
      <c r="D94" s="71"/>
    </row>
  </sheetData>
  <sortState ref="A50:B70">
    <sortCondition ref="B50:B70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00FF"/>
  </sheetPr>
  <dimension ref="A1:I197"/>
  <sheetViews>
    <sheetView workbookViewId="0">
      <pane ySplit="4" topLeftCell="A124" activePane="bottomLeft" state="frozen"/>
      <selection activeCell="G170" sqref="G170"/>
      <selection pane="bottomLeft" activeCell="E151" sqref="E151:E152"/>
    </sheetView>
  </sheetViews>
  <sheetFormatPr defaultRowHeight="14.4" x14ac:dyDescent="0.3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35">
      <c r="A1" s="267" t="s">
        <v>66</v>
      </c>
      <c r="B1" s="267"/>
      <c r="C1" s="267"/>
      <c r="D1" s="267"/>
      <c r="E1" s="267"/>
      <c r="F1" s="267"/>
    </row>
    <row r="3" spans="1:9" ht="15" x14ac:dyDescent="0.25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67</v>
      </c>
    </row>
    <row r="4" spans="1:9" ht="15" x14ac:dyDescent="0.25">
      <c r="A4" s="8" t="s">
        <v>68</v>
      </c>
      <c r="B4" s="8" t="s">
        <v>69</v>
      </c>
      <c r="C4" s="8" t="s">
        <v>70</v>
      </c>
      <c r="D4" s="8" t="s">
        <v>71</v>
      </c>
      <c r="E4" s="8" t="s">
        <v>72</v>
      </c>
      <c r="F4" s="8" t="s">
        <v>73</v>
      </c>
    </row>
    <row r="5" spans="1:9" x14ac:dyDescent="0.3">
      <c r="A5" s="268">
        <v>100</v>
      </c>
      <c r="B5" s="269">
        <v>100</v>
      </c>
      <c r="C5" s="264">
        <v>100</v>
      </c>
      <c r="D5" s="265">
        <v>100</v>
      </c>
      <c r="E5" s="266">
        <v>100</v>
      </c>
      <c r="F5" s="9">
        <v>100</v>
      </c>
    </row>
    <row r="6" spans="1:9" x14ac:dyDescent="0.3">
      <c r="A6" s="268"/>
      <c r="B6" s="269"/>
      <c r="C6" s="264"/>
      <c r="D6" s="265"/>
      <c r="E6" s="266"/>
      <c r="F6" s="9">
        <v>101</v>
      </c>
    </row>
    <row r="7" spans="1:9" x14ac:dyDescent="0.3">
      <c r="A7" s="268"/>
      <c r="B7" s="269"/>
      <c r="C7" s="264"/>
      <c r="D7" s="265"/>
      <c r="E7" s="266">
        <v>102</v>
      </c>
      <c r="F7" s="9">
        <v>102</v>
      </c>
    </row>
    <row r="8" spans="1:9" x14ac:dyDescent="0.3">
      <c r="A8" s="268"/>
      <c r="B8" s="269"/>
      <c r="C8" s="264"/>
      <c r="D8" s="265"/>
      <c r="E8" s="266"/>
      <c r="F8" s="9">
        <v>104</v>
      </c>
    </row>
    <row r="9" spans="1:9" x14ac:dyDescent="0.3">
      <c r="A9" s="268"/>
      <c r="B9" s="269"/>
      <c r="C9" s="264"/>
      <c r="D9" s="265">
        <v>105</v>
      </c>
      <c r="E9" s="266">
        <v>105</v>
      </c>
      <c r="F9" s="9">
        <v>105</v>
      </c>
    </row>
    <row r="10" spans="1:9" x14ac:dyDescent="0.3">
      <c r="A10" s="268"/>
      <c r="B10" s="269"/>
      <c r="C10" s="264"/>
      <c r="D10" s="265"/>
      <c r="E10" s="266"/>
      <c r="F10" s="9">
        <v>106</v>
      </c>
      <c r="I10" s="2"/>
    </row>
    <row r="11" spans="1:9" x14ac:dyDescent="0.3">
      <c r="A11" s="268"/>
      <c r="B11" s="269"/>
      <c r="C11" s="264"/>
      <c r="D11" s="265"/>
      <c r="E11" s="266">
        <v>107</v>
      </c>
      <c r="F11" s="9">
        <v>107</v>
      </c>
    </row>
    <row r="12" spans="1:9" x14ac:dyDescent="0.3">
      <c r="A12" s="268"/>
      <c r="B12" s="269"/>
      <c r="C12" s="264"/>
      <c r="D12" s="265"/>
      <c r="E12" s="266"/>
      <c r="F12" s="9">
        <v>109</v>
      </c>
    </row>
    <row r="13" spans="1:9" x14ac:dyDescent="0.3">
      <c r="A13" s="268"/>
      <c r="B13" s="269"/>
      <c r="C13" s="264">
        <v>110</v>
      </c>
      <c r="D13" s="265">
        <v>110</v>
      </c>
      <c r="E13" s="266">
        <v>110</v>
      </c>
      <c r="F13" s="9">
        <v>110</v>
      </c>
    </row>
    <row r="14" spans="1:9" x14ac:dyDescent="0.3">
      <c r="A14" s="268"/>
      <c r="B14" s="269"/>
      <c r="C14" s="264"/>
      <c r="D14" s="265"/>
      <c r="E14" s="266"/>
      <c r="F14" s="9">
        <v>111</v>
      </c>
    </row>
    <row r="15" spans="1:9" x14ac:dyDescent="0.3">
      <c r="A15" s="268"/>
      <c r="B15" s="269"/>
      <c r="C15" s="264"/>
      <c r="D15" s="265"/>
      <c r="E15" s="266">
        <v>113</v>
      </c>
      <c r="F15" s="9">
        <v>113</v>
      </c>
    </row>
    <row r="16" spans="1:9" x14ac:dyDescent="0.3">
      <c r="A16" s="268"/>
      <c r="B16" s="269"/>
      <c r="C16" s="264"/>
      <c r="D16" s="265"/>
      <c r="E16" s="266"/>
      <c r="F16" s="9">
        <v>114</v>
      </c>
    </row>
    <row r="17" spans="1:6" x14ac:dyDescent="0.3">
      <c r="A17" s="268"/>
      <c r="B17" s="269"/>
      <c r="C17" s="264"/>
      <c r="D17" s="265">
        <v>115</v>
      </c>
      <c r="E17" s="266">
        <v>115</v>
      </c>
      <c r="F17" s="9">
        <v>115</v>
      </c>
    </row>
    <row r="18" spans="1:6" x14ac:dyDescent="0.3">
      <c r="A18" s="268"/>
      <c r="B18" s="269"/>
      <c r="C18" s="264"/>
      <c r="D18" s="265"/>
      <c r="E18" s="266"/>
      <c r="F18" s="9">
        <v>117</v>
      </c>
    </row>
    <row r="19" spans="1:6" x14ac:dyDescent="0.3">
      <c r="A19" s="268"/>
      <c r="B19" s="269"/>
      <c r="C19" s="264"/>
      <c r="D19" s="265"/>
      <c r="E19" s="266">
        <v>118</v>
      </c>
      <c r="F19" s="9">
        <v>118</v>
      </c>
    </row>
    <row r="20" spans="1:6" x14ac:dyDescent="0.3">
      <c r="A20" s="268"/>
      <c r="B20" s="269"/>
      <c r="C20" s="264"/>
      <c r="D20" s="265"/>
      <c r="E20" s="266"/>
      <c r="F20" s="9">
        <v>120</v>
      </c>
    </row>
    <row r="21" spans="1:6" x14ac:dyDescent="0.3">
      <c r="A21" s="268"/>
      <c r="B21" s="269">
        <v>120</v>
      </c>
      <c r="C21" s="264">
        <v>120</v>
      </c>
      <c r="D21" s="265">
        <v>121</v>
      </c>
      <c r="E21" s="266">
        <v>121</v>
      </c>
      <c r="F21" s="9">
        <v>121</v>
      </c>
    </row>
    <row r="22" spans="1:6" x14ac:dyDescent="0.3">
      <c r="A22" s="268"/>
      <c r="B22" s="269"/>
      <c r="C22" s="264"/>
      <c r="D22" s="265"/>
      <c r="E22" s="266"/>
      <c r="F22" s="9">
        <v>123</v>
      </c>
    </row>
    <row r="23" spans="1:6" x14ac:dyDescent="0.3">
      <c r="A23" s="268"/>
      <c r="B23" s="269"/>
      <c r="C23" s="264"/>
      <c r="D23" s="265"/>
      <c r="E23" s="266">
        <v>124</v>
      </c>
      <c r="F23" s="9">
        <v>124</v>
      </c>
    </row>
    <row r="24" spans="1:6" x14ac:dyDescent="0.3">
      <c r="A24" s="268"/>
      <c r="B24" s="269"/>
      <c r="C24" s="264"/>
      <c r="D24" s="265"/>
      <c r="E24" s="266"/>
      <c r="F24" s="9">
        <v>126</v>
      </c>
    </row>
    <row r="25" spans="1:6" x14ac:dyDescent="0.3">
      <c r="A25" s="268"/>
      <c r="B25" s="269"/>
      <c r="C25" s="264"/>
      <c r="D25" s="265">
        <v>127</v>
      </c>
      <c r="E25" s="266">
        <v>127</v>
      </c>
      <c r="F25" s="9">
        <v>127</v>
      </c>
    </row>
    <row r="26" spans="1:6" x14ac:dyDescent="0.3">
      <c r="A26" s="268"/>
      <c r="B26" s="269"/>
      <c r="C26" s="264"/>
      <c r="D26" s="265"/>
      <c r="E26" s="266"/>
      <c r="F26" s="9">
        <v>129</v>
      </c>
    </row>
    <row r="27" spans="1:6" x14ac:dyDescent="0.3">
      <c r="A27" s="268"/>
      <c r="B27" s="269"/>
      <c r="C27" s="264"/>
      <c r="D27" s="265"/>
      <c r="E27" s="266">
        <v>130</v>
      </c>
      <c r="F27" s="9">
        <v>130</v>
      </c>
    </row>
    <row r="28" spans="1:6" x14ac:dyDescent="0.3">
      <c r="A28" s="268"/>
      <c r="B28" s="269"/>
      <c r="C28" s="264"/>
      <c r="D28" s="265"/>
      <c r="E28" s="266"/>
      <c r="F28" s="9">
        <v>132</v>
      </c>
    </row>
    <row r="29" spans="1:6" x14ac:dyDescent="0.3">
      <c r="A29" s="268"/>
      <c r="B29" s="269"/>
      <c r="C29" s="264">
        <v>130</v>
      </c>
      <c r="D29" s="265">
        <v>133</v>
      </c>
      <c r="E29" s="266">
        <v>133</v>
      </c>
      <c r="F29" s="9">
        <v>133</v>
      </c>
    </row>
    <row r="30" spans="1:6" x14ac:dyDescent="0.3">
      <c r="A30" s="268"/>
      <c r="B30" s="269"/>
      <c r="C30" s="264"/>
      <c r="D30" s="265"/>
      <c r="E30" s="266"/>
      <c r="F30" s="9">
        <v>135</v>
      </c>
    </row>
    <row r="31" spans="1:6" x14ac:dyDescent="0.3">
      <c r="A31" s="268"/>
      <c r="B31" s="269"/>
      <c r="C31" s="264"/>
      <c r="D31" s="265"/>
      <c r="E31" s="266">
        <v>137</v>
      </c>
      <c r="F31" s="9">
        <v>137</v>
      </c>
    </row>
    <row r="32" spans="1:6" x14ac:dyDescent="0.3">
      <c r="A32" s="268"/>
      <c r="B32" s="269"/>
      <c r="C32" s="264"/>
      <c r="D32" s="265"/>
      <c r="E32" s="266"/>
      <c r="F32" s="9">
        <v>138</v>
      </c>
    </row>
    <row r="33" spans="1:6" x14ac:dyDescent="0.3">
      <c r="A33" s="268"/>
      <c r="B33" s="269"/>
      <c r="C33" s="264"/>
      <c r="D33" s="265">
        <v>140</v>
      </c>
      <c r="E33" s="266">
        <v>140</v>
      </c>
      <c r="F33" s="9">
        <v>140</v>
      </c>
    </row>
    <row r="34" spans="1:6" x14ac:dyDescent="0.3">
      <c r="A34" s="268"/>
      <c r="B34" s="269"/>
      <c r="C34" s="264"/>
      <c r="D34" s="265"/>
      <c r="E34" s="266"/>
      <c r="F34" s="9">
        <v>142</v>
      </c>
    </row>
    <row r="35" spans="1:6" x14ac:dyDescent="0.3">
      <c r="A35" s="268"/>
      <c r="B35" s="269"/>
      <c r="C35" s="264"/>
      <c r="D35" s="265"/>
      <c r="E35" s="266">
        <v>143</v>
      </c>
      <c r="F35" s="9">
        <v>143</v>
      </c>
    </row>
    <row r="36" spans="1:6" x14ac:dyDescent="0.3">
      <c r="A36" s="268"/>
      <c r="B36" s="269"/>
      <c r="C36" s="264"/>
      <c r="D36" s="265"/>
      <c r="E36" s="266"/>
      <c r="F36" s="9">
        <v>145</v>
      </c>
    </row>
    <row r="37" spans="1:6" x14ac:dyDescent="0.3">
      <c r="A37" s="268">
        <v>150</v>
      </c>
      <c r="B37" s="269">
        <v>150</v>
      </c>
      <c r="C37" s="264">
        <v>150</v>
      </c>
      <c r="D37" s="265">
        <v>147</v>
      </c>
      <c r="E37" s="266">
        <v>147</v>
      </c>
      <c r="F37" s="9">
        <v>147</v>
      </c>
    </row>
    <row r="38" spans="1:6" x14ac:dyDescent="0.3">
      <c r="A38" s="268"/>
      <c r="B38" s="269"/>
      <c r="C38" s="264"/>
      <c r="D38" s="265"/>
      <c r="E38" s="266"/>
      <c r="F38" s="9">
        <v>149</v>
      </c>
    </row>
    <row r="39" spans="1:6" x14ac:dyDescent="0.3">
      <c r="A39" s="268"/>
      <c r="B39" s="269"/>
      <c r="C39" s="264"/>
      <c r="D39" s="265"/>
      <c r="E39" s="266">
        <v>150</v>
      </c>
      <c r="F39" s="9">
        <v>150</v>
      </c>
    </row>
    <row r="40" spans="1:6" x14ac:dyDescent="0.3">
      <c r="A40" s="268"/>
      <c r="B40" s="269"/>
      <c r="C40" s="264"/>
      <c r="D40" s="265"/>
      <c r="E40" s="266"/>
      <c r="F40" s="9">
        <v>152</v>
      </c>
    </row>
    <row r="41" spans="1:6" x14ac:dyDescent="0.3">
      <c r="A41" s="268"/>
      <c r="B41" s="269"/>
      <c r="C41" s="264"/>
      <c r="D41" s="265">
        <v>154</v>
      </c>
      <c r="E41" s="266">
        <v>154</v>
      </c>
      <c r="F41" s="9">
        <v>154</v>
      </c>
    </row>
    <row r="42" spans="1:6" x14ac:dyDescent="0.3">
      <c r="A42" s="268"/>
      <c r="B42" s="269"/>
      <c r="C42" s="264"/>
      <c r="D42" s="265"/>
      <c r="E42" s="266"/>
      <c r="F42" s="9">
        <v>156</v>
      </c>
    </row>
    <row r="43" spans="1:6" x14ac:dyDescent="0.3">
      <c r="A43" s="268"/>
      <c r="B43" s="269"/>
      <c r="C43" s="264"/>
      <c r="D43" s="265"/>
      <c r="E43" s="266">
        <v>158</v>
      </c>
      <c r="F43" s="9">
        <v>158</v>
      </c>
    </row>
    <row r="44" spans="1:6" x14ac:dyDescent="0.3">
      <c r="A44" s="268"/>
      <c r="B44" s="269"/>
      <c r="C44" s="264"/>
      <c r="D44" s="265"/>
      <c r="E44" s="266"/>
      <c r="F44" s="9">
        <v>160</v>
      </c>
    </row>
    <row r="45" spans="1:6" x14ac:dyDescent="0.3">
      <c r="A45" s="268"/>
      <c r="B45" s="269"/>
      <c r="C45" s="264">
        <v>160</v>
      </c>
      <c r="D45" s="265">
        <v>162</v>
      </c>
      <c r="E45" s="266">
        <v>162</v>
      </c>
      <c r="F45" s="9">
        <v>162</v>
      </c>
    </row>
    <row r="46" spans="1:6" x14ac:dyDescent="0.3">
      <c r="A46" s="268"/>
      <c r="B46" s="269"/>
      <c r="C46" s="264"/>
      <c r="D46" s="265"/>
      <c r="E46" s="266"/>
      <c r="F46" s="9">
        <v>164</v>
      </c>
    </row>
    <row r="47" spans="1:6" x14ac:dyDescent="0.3">
      <c r="A47" s="268"/>
      <c r="B47" s="269"/>
      <c r="C47" s="264"/>
      <c r="D47" s="265"/>
      <c r="E47" s="266">
        <v>165</v>
      </c>
      <c r="F47" s="9">
        <v>165</v>
      </c>
    </row>
    <row r="48" spans="1:6" x14ac:dyDescent="0.3">
      <c r="A48" s="268"/>
      <c r="B48" s="269"/>
      <c r="C48" s="264"/>
      <c r="D48" s="265"/>
      <c r="E48" s="266"/>
      <c r="F48" s="9">
        <v>167</v>
      </c>
    </row>
    <row r="49" spans="1:6" x14ac:dyDescent="0.3">
      <c r="A49" s="268"/>
      <c r="B49" s="269"/>
      <c r="C49" s="264"/>
      <c r="D49" s="265">
        <v>169</v>
      </c>
      <c r="E49" s="266">
        <v>169</v>
      </c>
      <c r="F49" s="9">
        <v>169</v>
      </c>
    </row>
    <row r="50" spans="1:6" x14ac:dyDescent="0.3">
      <c r="A50" s="268"/>
      <c r="B50" s="269"/>
      <c r="C50" s="264"/>
      <c r="D50" s="265"/>
      <c r="E50" s="266"/>
      <c r="F50" s="9">
        <v>172</v>
      </c>
    </row>
    <row r="51" spans="1:6" x14ac:dyDescent="0.3">
      <c r="A51" s="268"/>
      <c r="B51" s="269"/>
      <c r="C51" s="264"/>
      <c r="D51" s="265"/>
      <c r="E51" s="266">
        <v>174</v>
      </c>
      <c r="F51" s="9">
        <v>174</v>
      </c>
    </row>
    <row r="52" spans="1:6" x14ac:dyDescent="0.3">
      <c r="A52" s="268"/>
      <c r="B52" s="269"/>
      <c r="C52" s="264"/>
      <c r="D52" s="265"/>
      <c r="E52" s="266"/>
      <c r="F52" s="9">
        <v>176</v>
      </c>
    </row>
    <row r="53" spans="1:6" x14ac:dyDescent="0.3">
      <c r="A53" s="268"/>
      <c r="B53" s="269">
        <v>180</v>
      </c>
      <c r="C53" s="264">
        <v>180</v>
      </c>
      <c r="D53" s="265">
        <v>178</v>
      </c>
      <c r="E53" s="266">
        <v>178</v>
      </c>
      <c r="F53" s="9">
        <v>178</v>
      </c>
    </row>
    <row r="54" spans="1:6" x14ac:dyDescent="0.3">
      <c r="A54" s="268"/>
      <c r="B54" s="269"/>
      <c r="C54" s="264"/>
      <c r="D54" s="265"/>
      <c r="E54" s="266"/>
      <c r="F54" s="9">
        <v>180</v>
      </c>
    </row>
    <row r="55" spans="1:6" x14ac:dyDescent="0.3">
      <c r="A55" s="268"/>
      <c r="B55" s="269"/>
      <c r="C55" s="264"/>
      <c r="D55" s="265"/>
      <c r="E55" s="266">
        <v>182</v>
      </c>
      <c r="F55" s="9">
        <v>182</v>
      </c>
    </row>
    <row r="56" spans="1:6" x14ac:dyDescent="0.3">
      <c r="A56" s="268"/>
      <c r="B56" s="269"/>
      <c r="C56" s="264"/>
      <c r="D56" s="265"/>
      <c r="E56" s="266"/>
      <c r="F56" s="9">
        <v>184</v>
      </c>
    </row>
    <row r="57" spans="1:6" x14ac:dyDescent="0.3">
      <c r="A57" s="268"/>
      <c r="B57" s="269"/>
      <c r="C57" s="264"/>
      <c r="D57" s="265">
        <v>187</v>
      </c>
      <c r="E57" s="266">
        <v>187</v>
      </c>
      <c r="F57" s="9">
        <v>187</v>
      </c>
    </row>
    <row r="58" spans="1:6" x14ac:dyDescent="0.3">
      <c r="A58" s="268"/>
      <c r="B58" s="269"/>
      <c r="C58" s="264"/>
      <c r="D58" s="265"/>
      <c r="E58" s="266"/>
      <c r="F58" s="9">
        <v>189</v>
      </c>
    </row>
    <row r="59" spans="1:6" x14ac:dyDescent="0.3">
      <c r="A59" s="268"/>
      <c r="B59" s="269"/>
      <c r="C59" s="264"/>
      <c r="D59" s="265"/>
      <c r="E59" s="266">
        <v>191</v>
      </c>
      <c r="F59" s="9">
        <v>191</v>
      </c>
    </row>
    <row r="60" spans="1:6" x14ac:dyDescent="0.3">
      <c r="A60" s="268"/>
      <c r="B60" s="269"/>
      <c r="C60" s="264"/>
      <c r="D60" s="265"/>
      <c r="E60" s="266"/>
      <c r="F60" s="9">
        <v>193</v>
      </c>
    </row>
    <row r="61" spans="1:6" x14ac:dyDescent="0.3">
      <c r="A61" s="268"/>
      <c r="B61" s="269"/>
      <c r="C61" s="264">
        <v>200</v>
      </c>
      <c r="D61" s="265">
        <v>196</v>
      </c>
      <c r="E61" s="266">
        <v>196</v>
      </c>
      <c r="F61" s="9">
        <v>196</v>
      </c>
    </row>
    <row r="62" spans="1:6" x14ac:dyDescent="0.3">
      <c r="A62" s="268"/>
      <c r="B62" s="269"/>
      <c r="C62" s="264"/>
      <c r="D62" s="265"/>
      <c r="E62" s="266"/>
      <c r="F62" s="9">
        <v>198</v>
      </c>
    </row>
    <row r="63" spans="1:6" x14ac:dyDescent="0.3">
      <c r="A63" s="268"/>
      <c r="B63" s="269"/>
      <c r="C63" s="264"/>
      <c r="D63" s="265"/>
      <c r="E63" s="266">
        <v>200</v>
      </c>
      <c r="F63" s="9">
        <v>200</v>
      </c>
    </row>
    <row r="64" spans="1:6" x14ac:dyDescent="0.3">
      <c r="A64" s="268"/>
      <c r="B64" s="269"/>
      <c r="C64" s="264"/>
      <c r="D64" s="265"/>
      <c r="E64" s="266"/>
      <c r="F64" s="9">
        <v>203</v>
      </c>
    </row>
    <row r="65" spans="1:6" x14ac:dyDescent="0.3">
      <c r="A65" s="268"/>
      <c r="B65" s="269"/>
      <c r="C65" s="264"/>
      <c r="D65" s="265">
        <v>205</v>
      </c>
      <c r="E65" s="266">
        <v>205</v>
      </c>
      <c r="F65" s="9">
        <v>205</v>
      </c>
    </row>
    <row r="66" spans="1:6" x14ac:dyDescent="0.3">
      <c r="A66" s="268"/>
      <c r="B66" s="269"/>
      <c r="C66" s="264"/>
      <c r="D66" s="265"/>
      <c r="E66" s="266"/>
      <c r="F66" s="9">
        <v>208</v>
      </c>
    </row>
    <row r="67" spans="1:6" x14ac:dyDescent="0.3">
      <c r="A67" s="268"/>
      <c r="B67" s="269"/>
      <c r="C67" s="264"/>
      <c r="D67" s="265"/>
      <c r="E67" s="266">
        <v>210</v>
      </c>
      <c r="F67" s="9">
        <v>210</v>
      </c>
    </row>
    <row r="68" spans="1:6" x14ac:dyDescent="0.3">
      <c r="A68" s="268"/>
      <c r="B68" s="269"/>
      <c r="C68" s="264"/>
      <c r="D68" s="265"/>
      <c r="E68" s="266"/>
      <c r="F68" s="9">
        <v>213</v>
      </c>
    </row>
    <row r="69" spans="1:6" x14ac:dyDescent="0.3">
      <c r="A69" s="268">
        <v>220</v>
      </c>
      <c r="B69" s="269">
        <v>220</v>
      </c>
      <c r="C69" s="264">
        <v>220</v>
      </c>
      <c r="D69" s="265">
        <v>215</v>
      </c>
      <c r="E69" s="266">
        <v>215</v>
      </c>
      <c r="F69" s="9">
        <v>215</v>
      </c>
    </row>
    <row r="70" spans="1:6" x14ac:dyDescent="0.3">
      <c r="A70" s="268"/>
      <c r="B70" s="269"/>
      <c r="C70" s="264"/>
      <c r="D70" s="265"/>
      <c r="E70" s="266"/>
      <c r="F70" s="9">
        <v>218</v>
      </c>
    </row>
    <row r="71" spans="1:6" x14ac:dyDescent="0.3">
      <c r="A71" s="268"/>
      <c r="B71" s="269"/>
      <c r="C71" s="264"/>
      <c r="D71" s="265"/>
      <c r="E71" s="266">
        <v>221</v>
      </c>
      <c r="F71" s="9">
        <v>221</v>
      </c>
    </row>
    <row r="72" spans="1:6" x14ac:dyDescent="0.3">
      <c r="A72" s="268"/>
      <c r="B72" s="269"/>
      <c r="C72" s="264"/>
      <c r="D72" s="265"/>
      <c r="E72" s="266"/>
      <c r="F72" s="9">
        <v>223</v>
      </c>
    </row>
    <row r="73" spans="1:6" x14ac:dyDescent="0.3">
      <c r="A73" s="268"/>
      <c r="B73" s="269"/>
      <c r="C73" s="264"/>
      <c r="D73" s="265">
        <v>226</v>
      </c>
      <c r="E73" s="266">
        <v>226</v>
      </c>
      <c r="F73" s="9">
        <v>226</v>
      </c>
    </row>
    <row r="74" spans="1:6" x14ac:dyDescent="0.3">
      <c r="A74" s="268"/>
      <c r="B74" s="269"/>
      <c r="C74" s="264"/>
      <c r="D74" s="265"/>
      <c r="E74" s="266"/>
      <c r="F74" s="9">
        <v>229</v>
      </c>
    </row>
    <row r="75" spans="1:6" x14ac:dyDescent="0.3">
      <c r="A75" s="268"/>
      <c r="B75" s="269"/>
      <c r="C75" s="264"/>
      <c r="D75" s="265"/>
      <c r="E75" s="266">
        <v>232</v>
      </c>
      <c r="F75" s="9">
        <v>232</v>
      </c>
    </row>
    <row r="76" spans="1:6" x14ac:dyDescent="0.3">
      <c r="A76" s="268"/>
      <c r="B76" s="269"/>
      <c r="C76" s="264"/>
      <c r="D76" s="265"/>
      <c r="E76" s="266"/>
      <c r="F76" s="9">
        <v>234</v>
      </c>
    </row>
    <row r="77" spans="1:6" x14ac:dyDescent="0.3">
      <c r="A77" s="268"/>
      <c r="B77" s="269"/>
      <c r="C77" s="264">
        <v>240</v>
      </c>
      <c r="D77" s="265">
        <v>237</v>
      </c>
      <c r="E77" s="266">
        <v>237</v>
      </c>
      <c r="F77" s="9">
        <v>237</v>
      </c>
    </row>
    <row r="78" spans="1:6" x14ac:dyDescent="0.3">
      <c r="A78" s="268"/>
      <c r="B78" s="269"/>
      <c r="C78" s="264"/>
      <c r="D78" s="265"/>
      <c r="E78" s="266"/>
      <c r="F78" s="9">
        <v>240</v>
      </c>
    </row>
    <row r="79" spans="1:6" x14ac:dyDescent="0.3">
      <c r="A79" s="268"/>
      <c r="B79" s="269"/>
      <c r="C79" s="264"/>
      <c r="D79" s="265"/>
      <c r="E79" s="266">
        <v>243</v>
      </c>
      <c r="F79" s="9">
        <v>243</v>
      </c>
    </row>
    <row r="80" spans="1:6" x14ac:dyDescent="0.3">
      <c r="A80" s="268"/>
      <c r="B80" s="269"/>
      <c r="C80" s="264"/>
      <c r="D80" s="265"/>
      <c r="E80" s="266"/>
      <c r="F80" s="9">
        <v>246</v>
      </c>
    </row>
    <row r="81" spans="1:6" x14ac:dyDescent="0.3">
      <c r="A81" s="268"/>
      <c r="B81" s="269"/>
      <c r="C81" s="264"/>
      <c r="D81" s="265">
        <v>249</v>
      </c>
      <c r="E81" s="266">
        <v>249</v>
      </c>
      <c r="F81" s="9">
        <v>249</v>
      </c>
    </row>
    <row r="82" spans="1:6" x14ac:dyDescent="0.3">
      <c r="A82" s="268"/>
      <c r="B82" s="269"/>
      <c r="C82" s="264"/>
      <c r="D82" s="265"/>
      <c r="E82" s="266"/>
      <c r="F82" s="9">
        <v>252</v>
      </c>
    </row>
    <row r="83" spans="1:6" x14ac:dyDescent="0.3">
      <c r="A83" s="268"/>
      <c r="B83" s="269"/>
      <c r="C83" s="264"/>
      <c r="D83" s="265"/>
      <c r="E83" s="266">
        <v>255</v>
      </c>
      <c r="F83" s="9">
        <v>255</v>
      </c>
    </row>
    <row r="84" spans="1:6" x14ac:dyDescent="0.3">
      <c r="A84" s="268"/>
      <c r="B84" s="269"/>
      <c r="C84" s="264"/>
      <c r="D84" s="265"/>
      <c r="E84" s="266"/>
      <c r="F84" s="9">
        <v>258</v>
      </c>
    </row>
    <row r="85" spans="1:6" x14ac:dyDescent="0.3">
      <c r="A85" s="268"/>
      <c r="B85" s="269">
        <v>270</v>
      </c>
      <c r="C85" s="264">
        <v>270</v>
      </c>
      <c r="D85" s="265">
        <v>261</v>
      </c>
      <c r="E85" s="266">
        <v>261</v>
      </c>
      <c r="F85" s="9">
        <v>261</v>
      </c>
    </row>
    <row r="86" spans="1:6" x14ac:dyDescent="0.3">
      <c r="A86" s="268"/>
      <c r="B86" s="269"/>
      <c r="C86" s="264"/>
      <c r="D86" s="265"/>
      <c r="E86" s="266"/>
      <c r="F86" s="9">
        <v>264</v>
      </c>
    </row>
    <row r="87" spans="1:6" x14ac:dyDescent="0.3">
      <c r="A87" s="268"/>
      <c r="B87" s="269"/>
      <c r="C87" s="264"/>
      <c r="D87" s="265"/>
      <c r="E87" s="266">
        <v>267</v>
      </c>
      <c r="F87" s="9">
        <v>267</v>
      </c>
    </row>
    <row r="88" spans="1:6" x14ac:dyDescent="0.3">
      <c r="A88" s="268"/>
      <c r="B88" s="269"/>
      <c r="C88" s="264"/>
      <c r="D88" s="265"/>
      <c r="E88" s="266"/>
      <c r="F88" s="9">
        <v>271</v>
      </c>
    </row>
    <row r="89" spans="1:6" x14ac:dyDescent="0.3">
      <c r="A89" s="268"/>
      <c r="B89" s="269"/>
      <c r="C89" s="264"/>
      <c r="D89" s="265">
        <v>274</v>
      </c>
      <c r="E89" s="266">
        <v>274</v>
      </c>
      <c r="F89" s="9">
        <v>274</v>
      </c>
    </row>
    <row r="90" spans="1:6" x14ac:dyDescent="0.3">
      <c r="A90" s="268"/>
      <c r="B90" s="269"/>
      <c r="C90" s="264"/>
      <c r="D90" s="265"/>
      <c r="E90" s="266"/>
      <c r="F90" s="9">
        <v>277</v>
      </c>
    </row>
    <row r="91" spans="1:6" x14ac:dyDescent="0.3">
      <c r="A91" s="268"/>
      <c r="B91" s="269"/>
      <c r="C91" s="264"/>
      <c r="D91" s="265"/>
      <c r="E91" s="266">
        <v>280</v>
      </c>
      <c r="F91" s="9">
        <v>280</v>
      </c>
    </row>
    <row r="92" spans="1:6" x14ac:dyDescent="0.3">
      <c r="A92" s="268"/>
      <c r="B92" s="269"/>
      <c r="C92" s="264"/>
      <c r="D92" s="265"/>
      <c r="E92" s="266"/>
      <c r="F92" s="9">
        <v>284</v>
      </c>
    </row>
    <row r="93" spans="1:6" x14ac:dyDescent="0.3">
      <c r="A93" s="268"/>
      <c r="B93" s="269"/>
      <c r="C93" s="264">
        <v>300</v>
      </c>
      <c r="D93" s="265">
        <v>287</v>
      </c>
      <c r="E93" s="266">
        <v>287</v>
      </c>
      <c r="F93" s="9">
        <v>287</v>
      </c>
    </row>
    <row r="94" spans="1:6" x14ac:dyDescent="0.3">
      <c r="A94" s="268"/>
      <c r="B94" s="269"/>
      <c r="C94" s="264"/>
      <c r="D94" s="265"/>
      <c r="E94" s="266"/>
      <c r="F94" s="9">
        <v>291</v>
      </c>
    </row>
    <row r="95" spans="1:6" x14ac:dyDescent="0.3">
      <c r="A95" s="268"/>
      <c r="B95" s="269"/>
      <c r="C95" s="264"/>
      <c r="D95" s="265"/>
      <c r="E95" s="266">
        <v>294</v>
      </c>
      <c r="F95" s="9">
        <v>294</v>
      </c>
    </row>
    <row r="96" spans="1:6" x14ac:dyDescent="0.3">
      <c r="A96" s="268"/>
      <c r="B96" s="269"/>
      <c r="C96" s="264"/>
      <c r="D96" s="265"/>
      <c r="E96" s="266"/>
      <c r="F96" s="9">
        <v>298</v>
      </c>
    </row>
    <row r="97" spans="1:6" x14ac:dyDescent="0.3">
      <c r="A97" s="268"/>
      <c r="B97" s="269"/>
      <c r="C97" s="264"/>
      <c r="D97" s="265">
        <v>301</v>
      </c>
      <c r="E97" s="266">
        <v>301</v>
      </c>
      <c r="F97" s="9">
        <v>301</v>
      </c>
    </row>
    <row r="98" spans="1:6" x14ac:dyDescent="0.3">
      <c r="A98" s="268"/>
      <c r="B98" s="269"/>
      <c r="C98" s="264"/>
      <c r="D98" s="265"/>
      <c r="E98" s="266"/>
      <c r="F98" s="9">
        <v>305</v>
      </c>
    </row>
    <row r="99" spans="1:6" x14ac:dyDescent="0.3">
      <c r="A99" s="268"/>
      <c r="B99" s="269"/>
      <c r="C99" s="264"/>
      <c r="D99" s="265"/>
      <c r="E99" s="266">
        <v>309</v>
      </c>
      <c r="F99" s="9">
        <v>309</v>
      </c>
    </row>
    <row r="100" spans="1:6" x14ac:dyDescent="0.3">
      <c r="A100" s="268"/>
      <c r="B100" s="269"/>
      <c r="C100" s="264"/>
      <c r="D100" s="265"/>
      <c r="E100" s="266"/>
      <c r="F100" s="9">
        <v>312</v>
      </c>
    </row>
    <row r="101" spans="1:6" x14ac:dyDescent="0.3">
      <c r="A101" s="268">
        <v>330</v>
      </c>
      <c r="B101" s="269">
        <v>330</v>
      </c>
      <c r="C101" s="264">
        <v>330</v>
      </c>
      <c r="D101" s="265">
        <v>316</v>
      </c>
      <c r="E101" s="266">
        <v>316</v>
      </c>
      <c r="F101" s="9">
        <v>316</v>
      </c>
    </row>
    <row r="102" spans="1:6" x14ac:dyDescent="0.3">
      <c r="A102" s="268"/>
      <c r="B102" s="269"/>
      <c r="C102" s="264"/>
      <c r="D102" s="265"/>
      <c r="E102" s="266"/>
      <c r="F102" s="9">
        <v>320</v>
      </c>
    </row>
    <row r="103" spans="1:6" x14ac:dyDescent="0.3">
      <c r="A103" s="268"/>
      <c r="B103" s="269"/>
      <c r="C103" s="264"/>
      <c r="D103" s="265"/>
      <c r="E103" s="266">
        <v>324</v>
      </c>
      <c r="F103" s="9">
        <v>324</v>
      </c>
    </row>
    <row r="104" spans="1:6" x14ac:dyDescent="0.3">
      <c r="A104" s="268"/>
      <c r="B104" s="269"/>
      <c r="C104" s="264"/>
      <c r="D104" s="265"/>
      <c r="E104" s="266"/>
      <c r="F104" s="9">
        <v>328</v>
      </c>
    </row>
    <row r="105" spans="1:6" x14ac:dyDescent="0.3">
      <c r="A105" s="268"/>
      <c r="B105" s="269"/>
      <c r="C105" s="264"/>
      <c r="D105" s="265">
        <v>332</v>
      </c>
      <c r="E105" s="266">
        <v>332</v>
      </c>
      <c r="F105" s="9">
        <v>332</v>
      </c>
    </row>
    <row r="106" spans="1:6" x14ac:dyDescent="0.3">
      <c r="A106" s="268"/>
      <c r="B106" s="269"/>
      <c r="C106" s="264"/>
      <c r="D106" s="265"/>
      <c r="E106" s="266"/>
      <c r="F106" s="9">
        <v>336</v>
      </c>
    </row>
    <row r="107" spans="1:6" x14ac:dyDescent="0.3">
      <c r="A107" s="268"/>
      <c r="B107" s="269"/>
      <c r="C107" s="264"/>
      <c r="D107" s="265"/>
      <c r="E107" s="266">
        <v>340</v>
      </c>
      <c r="F107" s="9">
        <v>340</v>
      </c>
    </row>
    <row r="108" spans="1:6" x14ac:dyDescent="0.3">
      <c r="A108" s="268"/>
      <c r="B108" s="269"/>
      <c r="C108" s="264"/>
      <c r="D108" s="265"/>
      <c r="E108" s="266"/>
      <c r="F108" s="9">
        <v>344</v>
      </c>
    </row>
    <row r="109" spans="1:6" x14ac:dyDescent="0.3">
      <c r="A109" s="268"/>
      <c r="B109" s="269"/>
      <c r="C109" s="264">
        <v>360</v>
      </c>
      <c r="D109" s="265">
        <v>348</v>
      </c>
      <c r="E109" s="266">
        <v>348</v>
      </c>
      <c r="F109" s="9">
        <v>348</v>
      </c>
    </row>
    <row r="110" spans="1:6" x14ac:dyDescent="0.3">
      <c r="A110" s="268"/>
      <c r="B110" s="269"/>
      <c r="C110" s="264"/>
      <c r="D110" s="265"/>
      <c r="E110" s="266"/>
      <c r="F110" s="9">
        <v>352</v>
      </c>
    </row>
    <row r="111" spans="1:6" x14ac:dyDescent="0.3">
      <c r="A111" s="268"/>
      <c r="B111" s="269"/>
      <c r="C111" s="264"/>
      <c r="D111" s="265"/>
      <c r="E111" s="266">
        <v>357</v>
      </c>
      <c r="F111" s="9">
        <v>357</v>
      </c>
    </row>
    <row r="112" spans="1:6" x14ac:dyDescent="0.3">
      <c r="A112" s="268"/>
      <c r="B112" s="269"/>
      <c r="C112" s="264"/>
      <c r="D112" s="265"/>
      <c r="E112" s="266"/>
      <c r="F112" s="9">
        <v>361</v>
      </c>
    </row>
    <row r="113" spans="1:6" x14ac:dyDescent="0.3">
      <c r="A113" s="268"/>
      <c r="B113" s="269"/>
      <c r="C113" s="264"/>
      <c r="D113" s="265">
        <v>365</v>
      </c>
      <c r="E113" s="266">
        <v>365</v>
      </c>
      <c r="F113" s="9">
        <v>365</v>
      </c>
    </row>
    <row r="114" spans="1:6" x14ac:dyDescent="0.3">
      <c r="A114" s="268"/>
      <c r="B114" s="269"/>
      <c r="C114" s="264"/>
      <c r="D114" s="265"/>
      <c r="E114" s="266"/>
      <c r="F114" s="9">
        <v>370</v>
      </c>
    </row>
    <row r="115" spans="1:6" x14ac:dyDescent="0.3">
      <c r="A115" s="268"/>
      <c r="B115" s="269"/>
      <c r="C115" s="264"/>
      <c r="D115" s="265"/>
      <c r="E115" s="266">
        <v>374</v>
      </c>
      <c r="F115" s="9">
        <v>374</v>
      </c>
    </row>
    <row r="116" spans="1:6" x14ac:dyDescent="0.3">
      <c r="A116" s="268"/>
      <c r="B116" s="269"/>
      <c r="C116" s="264"/>
      <c r="D116" s="265"/>
      <c r="E116" s="266"/>
      <c r="F116" s="9">
        <v>379</v>
      </c>
    </row>
    <row r="117" spans="1:6" x14ac:dyDescent="0.3">
      <c r="A117" s="268"/>
      <c r="B117" s="269">
        <v>390</v>
      </c>
      <c r="C117" s="264">
        <v>390</v>
      </c>
      <c r="D117" s="265">
        <v>383</v>
      </c>
      <c r="E117" s="266">
        <v>383</v>
      </c>
      <c r="F117" s="9">
        <v>383</v>
      </c>
    </row>
    <row r="118" spans="1:6" x14ac:dyDescent="0.3">
      <c r="A118" s="268"/>
      <c r="B118" s="269"/>
      <c r="C118" s="264"/>
      <c r="D118" s="265"/>
      <c r="E118" s="266"/>
      <c r="F118" s="9">
        <v>388</v>
      </c>
    </row>
    <row r="119" spans="1:6" x14ac:dyDescent="0.3">
      <c r="A119" s="268"/>
      <c r="B119" s="269"/>
      <c r="C119" s="264"/>
      <c r="D119" s="265"/>
      <c r="E119" s="266">
        <v>392</v>
      </c>
      <c r="F119" s="9">
        <v>392</v>
      </c>
    </row>
    <row r="120" spans="1:6" x14ac:dyDescent="0.3">
      <c r="A120" s="268"/>
      <c r="B120" s="269"/>
      <c r="C120" s="264"/>
      <c r="D120" s="265"/>
      <c r="E120" s="266"/>
      <c r="F120" s="9">
        <v>397</v>
      </c>
    </row>
    <row r="121" spans="1:6" x14ac:dyDescent="0.3">
      <c r="A121" s="268"/>
      <c r="B121" s="269"/>
      <c r="C121" s="264"/>
      <c r="D121" s="265">
        <v>402</v>
      </c>
      <c r="E121" s="266">
        <v>402</v>
      </c>
      <c r="F121" s="9">
        <v>402</v>
      </c>
    </row>
    <row r="122" spans="1:6" x14ac:dyDescent="0.3">
      <c r="A122" s="268"/>
      <c r="B122" s="269"/>
      <c r="C122" s="264"/>
      <c r="D122" s="265"/>
      <c r="E122" s="266"/>
      <c r="F122" s="9">
        <v>407</v>
      </c>
    </row>
    <row r="123" spans="1:6" x14ac:dyDescent="0.3">
      <c r="A123" s="268"/>
      <c r="B123" s="269"/>
      <c r="C123" s="264"/>
      <c r="D123" s="265"/>
      <c r="E123" s="266">
        <v>412</v>
      </c>
      <c r="F123" s="9">
        <v>412</v>
      </c>
    </row>
    <row r="124" spans="1:6" x14ac:dyDescent="0.3">
      <c r="A124" s="268"/>
      <c r="B124" s="269"/>
      <c r="C124" s="264"/>
      <c r="D124" s="265"/>
      <c r="E124" s="266"/>
      <c r="F124" s="9">
        <v>417</v>
      </c>
    </row>
    <row r="125" spans="1:6" x14ac:dyDescent="0.3">
      <c r="A125" s="268"/>
      <c r="B125" s="269"/>
      <c r="C125" s="264">
        <v>430</v>
      </c>
      <c r="D125" s="265">
        <v>422</v>
      </c>
      <c r="E125" s="266">
        <v>422</v>
      </c>
      <c r="F125" s="9">
        <v>422</v>
      </c>
    </row>
    <row r="126" spans="1:6" x14ac:dyDescent="0.3">
      <c r="A126" s="268"/>
      <c r="B126" s="269"/>
      <c r="C126" s="264"/>
      <c r="D126" s="265"/>
      <c r="E126" s="266"/>
      <c r="F126" s="9">
        <v>427</v>
      </c>
    </row>
    <row r="127" spans="1:6" x14ac:dyDescent="0.3">
      <c r="A127" s="268"/>
      <c r="B127" s="269"/>
      <c r="C127" s="264"/>
      <c r="D127" s="265"/>
      <c r="E127" s="266">
        <v>432</v>
      </c>
      <c r="F127" s="9">
        <v>432</v>
      </c>
    </row>
    <row r="128" spans="1:6" x14ac:dyDescent="0.3">
      <c r="A128" s="268"/>
      <c r="B128" s="269"/>
      <c r="C128" s="264"/>
      <c r="D128" s="265"/>
      <c r="E128" s="266"/>
      <c r="F128" s="9">
        <v>437</v>
      </c>
    </row>
    <row r="129" spans="1:6" x14ac:dyDescent="0.3">
      <c r="A129" s="268"/>
      <c r="B129" s="269"/>
      <c r="C129" s="264"/>
      <c r="D129" s="265">
        <v>442</v>
      </c>
      <c r="E129" s="266">
        <v>442</v>
      </c>
      <c r="F129" s="9">
        <v>442</v>
      </c>
    </row>
    <row r="130" spans="1:6" x14ac:dyDescent="0.3">
      <c r="A130" s="268"/>
      <c r="B130" s="269"/>
      <c r="C130" s="264"/>
      <c r="D130" s="265"/>
      <c r="E130" s="266"/>
      <c r="F130" s="9">
        <v>448</v>
      </c>
    </row>
    <row r="131" spans="1:6" x14ac:dyDescent="0.3">
      <c r="A131" s="268"/>
      <c r="B131" s="269"/>
      <c r="C131" s="264"/>
      <c r="D131" s="265"/>
      <c r="E131" s="266">
        <v>453</v>
      </c>
      <c r="F131" s="9">
        <v>453</v>
      </c>
    </row>
    <row r="132" spans="1:6" x14ac:dyDescent="0.3">
      <c r="A132" s="268"/>
      <c r="B132" s="269"/>
      <c r="C132" s="264"/>
      <c r="D132" s="265"/>
      <c r="E132" s="266"/>
      <c r="F132" s="9">
        <v>459</v>
      </c>
    </row>
    <row r="133" spans="1:6" x14ac:dyDescent="0.3">
      <c r="A133" s="268">
        <v>470</v>
      </c>
      <c r="B133" s="269">
        <v>470</v>
      </c>
      <c r="C133" s="264">
        <v>470</v>
      </c>
      <c r="D133" s="265">
        <v>464</v>
      </c>
      <c r="E133" s="266">
        <v>464</v>
      </c>
      <c r="F133" s="9">
        <v>464</v>
      </c>
    </row>
    <row r="134" spans="1:6" x14ac:dyDescent="0.3">
      <c r="A134" s="268"/>
      <c r="B134" s="269"/>
      <c r="C134" s="264"/>
      <c r="D134" s="265"/>
      <c r="E134" s="266"/>
      <c r="F134" s="9">
        <v>470</v>
      </c>
    </row>
    <row r="135" spans="1:6" x14ac:dyDescent="0.3">
      <c r="A135" s="268"/>
      <c r="B135" s="269"/>
      <c r="C135" s="264"/>
      <c r="D135" s="265"/>
      <c r="E135" s="266">
        <v>475</v>
      </c>
      <c r="F135" s="9">
        <v>475</v>
      </c>
    </row>
    <row r="136" spans="1:6" x14ac:dyDescent="0.3">
      <c r="A136" s="268"/>
      <c r="B136" s="269"/>
      <c r="C136" s="264"/>
      <c r="D136" s="265"/>
      <c r="E136" s="266"/>
      <c r="F136" s="9">
        <v>481</v>
      </c>
    </row>
    <row r="137" spans="1:6" x14ac:dyDescent="0.3">
      <c r="A137" s="268"/>
      <c r="B137" s="269"/>
      <c r="C137" s="264"/>
      <c r="D137" s="265">
        <v>487</v>
      </c>
      <c r="E137" s="266">
        <v>487</v>
      </c>
      <c r="F137" s="9">
        <v>487</v>
      </c>
    </row>
    <row r="138" spans="1:6" x14ac:dyDescent="0.3">
      <c r="A138" s="268"/>
      <c r="B138" s="269"/>
      <c r="C138" s="264"/>
      <c r="D138" s="265"/>
      <c r="E138" s="266"/>
      <c r="F138" s="9">
        <v>493</v>
      </c>
    </row>
    <row r="139" spans="1:6" x14ac:dyDescent="0.3">
      <c r="A139" s="268"/>
      <c r="B139" s="269"/>
      <c r="C139" s="264"/>
      <c r="D139" s="265"/>
      <c r="E139" s="266">
        <v>499</v>
      </c>
      <c r="F139" s="9">
        <v>499</v>
      </c>
    </row>
    <row r="140" spans="1:6" x14ac:dyDescent="0.3">
      <c r="A140" s="268"/>
      <c r="B140" s="269"/>
      <c r="C140" s="264"/>
      <c r="D140" s="265"/>
      <c r="E140" s="266"/>
      <c r="F140" s="9">
        <v>505</v>
      </c>
    </row>
    <row r="141" spans="1:6" x14ac:dyDescent="0.3">
      <c r="A141" s="268"/>
      <c r="B141" s="269"/>
      <c r="C141" s="264">
        <v>510</v>
      </c>
      <c r="D141" s="265">
        <v>511</v>
      </c>
      <c r="E141" s="266">
        <v>511</v>
      </c>
      <c r="F141" s="9">
        <v>511</v>
      </c>
    </row>
    <row r="142" spans="1:6" x14ac:dyDescent="0.3">
      <c r="A142" s="268"/>
      <c r="B142" s="269"/>
      <c r="C142" s="264"/>
      <c r="D142" s="265"/>
      <c r="E142" s="266"/>
      <c r="F142" s="9">
        <v>517</v>
      </c>
    </row>
    <row r="143" spans="1:6" x14ac:dyDescent="0.3">
      <c r="A143" s="268"/>
      <c r="B143" s="269"/>
      <c r="C143" s="264"/>
      <c r="D143" s="265"/>
      <c r="E143" s="266">
        <v>523</v>
      </c>
      <c r="F143" s="9">
        <v>523</v>
      </c>
    </row>
    <row r="144" spans="1:6" x14ac:dyDescent="0.3">
      <c r="A144" s="268"/>
      <c r="B144" s="269"/>
      <c r="C144" s="264"/>
      <c r="D144" s="265"/>
      <c r="E144" s="266"/>
      <c r="F144" s="9">
        <v>530</v>
      </c>
    </row>
    <row r="145" spans="1:6" x14ac:dyDescent="0.3">
      <c r="A145" s="268"/>
      <c r="B145" s="269"/>
      <c r="C145" s="264"/>
      <c r="D145" s="265">
        <v>536</v>
      </c>
      <c r="E145" s="266">
        <v>536</v>
      </c>
      <c r="F145" s="9">
        <v>536</v>
      </c>
    </row>
    <row r="146" spans="1:6" x14ac:dyDescent="0.3">
      <c r="A146" s="268"/>
      <c r="B146" s="269"/>
      <c r="C146" s="264"/>
      <c r="D146" s="265"/>
      <c r="E146" s="266"/>
      <c r="F146" s="9">
        <v>542</v>
      </c>
    </row>
    <row r="147" spans="1:6" x14ac:dyDescent="0.3">
      <c r="A147" s="268"/>
      <c r="B147" s="269"/>
      <c r="C147" s="264"/>
      <c r="D147" s="265"/>
      <c r="E147" s="266">
        <v>549</v>
      </c>
      <c r="F147" s="9">
        <v>549</v>
      </c>
    </row>
    <row r="148" spans="1:6" x14ac:dyDescent="0.3">
      <c r="A148" s="268"/>
      <c r="B148" s="269"/>
      <c r="C148" s="264"/>
      <c r="D148" s="265"/>
      <c r="E148" s="266"/>
      <c r="F148" s="9">
        <v>556</v>
      </c>
    </row>
    <row r="149" spans="1:6" x14ac:dyDescent="0.3">
      <c r="A149" s="268"/>
      <c r="B149" s="269">
        <v>560</v>
      </c>
      <c r="C149" s="264">
        <v>560</v>
      </c>
      <c r="D149" s="265">
        <v>562</v>
      </c>
      <c r="E149" s="266">
        <v>562</v>
      </c>
      <c r="F149" s="9">
        <v>562</v>
      </c>
    </row>
    <row r="150" spans="1:6" x14ac:dyDescent="0.3">
      <c r="A150" s="268"/>
      <c r="B150" s="269"/>
      <c r="C150" s="264"/>
      <c r="D150" s="265"/>
      <c r="E150" s="266"/>
      <c r="F150" s="9">
        <v>569</v>
      </c>
    </row>
    <row r="151" spans="1:6" x14ac:dyDescent="0.3">
      <c r="A151" s="268"/>
      <c r="B151" s="269"/>
      <c r="C151" s="264"/>
      <c r="D151" s="265"/>
      <c r="E151" s="266">
        <v>576</v>
      </c>
      <c r="F151" s="9">
        <v>576</v>
      </c>
    </row>
    <row r="152" spans="1:6" x14ac:dyDescent="0.3">
      <c r="A152" s="268"/>
      <c r="B152" s="269"/>
      <c r="C152" s="264"/>
      <c r="D152" s="265"/>
      <c r="E152" s="266"/>
      <c r="F152" s="9">
        <v>583</v>
      </c>
    </row>
    <row r="153" spans="1:6" x14ac:dyDescent="0.3">
      <c r="A153" s="268"/>
      <c r="B153" s="269"/>
      <c r="C153" s="264"/>
      <c r="D153" s="265">
        <v>590</v>
      </c>
      <c r="E153" s="266">
        <v>590</v>
      </c>
      <c r="F153" s="9">
        <v>590</v>
      </c>
    </row>
    <row r="154" spans="1:6" x14ac:dyDescent="0.3">
      <c r="A154" s="268"/>
      <c r="B154" s="269"/>
      <c r="C154" s="264"/>
      <c r="D154" s="265"/>
      <c r="E154" s="266"/>
      <c r="F154" s="9">
        <v>597</v>
      </c>
    </row>
    <row r="155" spans="1:6" x14ac:dyDescent="0.3">
      <c r="A155" s="268"/>
      <c r="B155" s="269"/>
      <c r="C155" s="264"/>
      <c r="D155" s="265"/>
      <c r="E155" s="266">
        <v>604</v>
      </c>
      <c r="F155" s="9">
        <v>604</v>
      </c>
    </row>
    <row r="156" spans="1:6" x14ac:dyDescent="0.3">
      <c r="A156" s="268"/>
      <c r="B156" s="269"/>
      <c r="C156" s="264"/>
      <c r="D156" s="265"/>
      <c r="E156" s="266"/>
      <c r="F156" s="9">
        <v>612</v>
      </c>
    </row>
    <row r="157" spans="1:6" x14ac:dyDescent="0.3">
      <c r="A157" s="268"/>
      <c r="B157" s="269"/>
      <c r="C157" s="264">
        <v>620</v>
      </c>
      <c r="D157" s="265">
        <v>619</v>
      </c>
      <c r="E157" s="266">
        <v>619</v>
      </c>
      <c r="F157" s="9">
        <v>619</v>
      </c>
    </row>
    <row r="158" spans="1:6" x14ac:dyDescent="0.3">
      <c r="A158" s="268"/>
      <c r="B158" s="269"/>
      <c r="C158" s="264"/>
      <c r="D158" s="265"/>
      <c r="E158" s="266"/>
      <c r="F158" s="9">
        <v>626</v>
      </c>
    </row>
    <row r="159" spans="1:6" x14ac:dyDescent="0.3">
      <c r="A159" s="268"/>
      <c r="B159" s="269"/>
      <c r="C159" s="264"/>
      <c r="D159" s="265"/>
      <c r="E159" s="266">
        <v>634</v>
      </c>
      <c r="F159" s="9">
        <v>634</v>
      </c>
    </row>
    <row r="160" spans="1:6" x14ac:dyDescent="0.3">
      <c r="A160" s="268"/>
      <c r="B160" s="269"/>
      <c r="C160" s="264"/>
      <c r="D160" s="265"/>
      <c r="E160" s="266"/>
      <c r="F160" s="9">
        <v>642</v>
      </c>
    </row>
    <row r="161" spans="1:6" x14ac:dyDescent="0.3">
      <c r="A161" s="268"/>
      <c r="B161" s="269"/>
      <c r="C161" s="264"/>
      <c r="D161" s="265">
        <v>649</v>
      </c>
      <c r="E161" s="266">
        <v>649</v>
      </c>
      <c r="F161" s="9">
        <v>649</v>
      </c>
    </row>
    <row r="162" spans="1:6" x14ac:dyDescent="0.3">
      <c r="A162" s="268"/>
      <c r="B162" s="269"/>
      <c r="C162" s="264"/>
      <c r="D162" s="265"/>
      <c r="E162" s="266"/>
      <c r="F162" s="9">
        <v>657</v>
      </c>
    </row>
    <row r="163" spans="1:6" x14ac:dyDescent="0.3">
      <c r="A163" s="268"/>
      <c r="B163" s="269"/>
      <c r="C163" s="264"/>
      <c r="D163" s="265"/>
      <c r="E163" s="266">
        <v>665</v>
      </c>
      <c r="F163" s="9">
        <v>665</v>
      </c>
    </row>
    <row r="164" spans="1:6" x14ac:dyDescent="0.3">
      <c r="A164" s="268"/>
      <c r="B164" s="269"/>
      <c r="C164" s="264"/>
      <c r="D164" s="265"/>
      <c r="E164" s="266"/>
      <c r="F164" s="9">
        <v>673</v>
      </c>
    </row>
    <row r="165" spans="1:6" x14ac:dyDescent="0.3">
      <c r="A165" s="268">
        <v>680</v>
      </c>
      <c r="B165" s="269">
        <v>680</v>
      </c>
      <c r="C165" s="264">
        <v>680</v>
      </c>
      <c r="D165" s="265">
        <v>681</v>
      </c>
      <c r="E165" s="266">
        <v>681</v>
      </c>
      <c r="F165" s="9">
        <v>681</v>
      </c>
    </row>
    <row r="166" spans="1:6" x14ac:dyDescent="0.3">
      <c r="A166" s="268"/>
      <c r="B166" s="269"/>
      <c r="C166" s="264"/>
      <c r="D166" s="265"/>
      <c r="E166" s="266"/>
      <c r="F166" s="9">
        <v>690</v>
      </c>
    </row>
    <row r="167" spans="1:6" x14ac:dyDescent="0.3">
      <c r="A167" s="268"/>
      <c r="B167" s="269"/>
      <c r="C167" s="264"/>
      <c r="D167" s="265"/>
      <c r="E167" s="266">
        <v>698</v>
      </c>
      <c r="F167" s="9">
        <v>698</v>
      </c>
    </row>
    <row r="168" spans="1:6" x14ac:dyDescent="0.3">
      <c r="A168" s="268"/>
      <c r="B168" s="269"/>
      <c r="C168" s="264"/>
      <c r="D168" s="265"/>
      <c r="E168" s="266"/>
      <c r="F168" s="9">
        <v>706</v>
      </c>
    </row>
    <row r="169" spans="1:6" x14ac:dyDescent="0.3">
      <c r="A169" s="268"/>
      <c r="B169" s="269"/>
      <c r="C169" s="264"/>
      <c r="D169" s="265">
        <v>715</v>
      </c>
      <c r="E169" s="266">
        <v>715</v>
      </c>
      <c r="F169" s="9">
        <v>715</v>
      </c>
    </row>
    <row r="170" spans="1:6" x14ac:dyDescent="0.3">
      <c r="A170" s="268"/>
      <c r="B170" s="269"/>
      <c r="C170" s="264"/>
      <c r="D170" s="265"/>
      <c r="E170" s="266"/>
      <c r="F170" s="9">
        <v>723</v>
      </c>
    </row>
    <row r="171" spans="1:6" x14ac:dyDescent="0.3">
      <c r="A171" s="268"/>
      <c r="B171" s="269"/>
      <c r="C171" s="264"/>
      <c r="D171" s="265"/>
      <c r="E171" s="266">
        <v>732</v>
      </c>
      <c r="F171" s="9">
        <v>732</v>
      </c>
    </row>
    <row r="172" spans="1:6" x14ac:dyDescent="0.3">
      <c r="A172" s="268"/>
      <c r="B172" s="269"/>
      <c r="C172" s="264"/>
      <c r="D172" s="265"/>
      <c r="E172" s="266"/>
      <c r="F172" s="9">
        <v>741</v>
      </c>
    </row>
    <row r="173" spans="1:6" x14ac:dyDescent="0.3">
      <c r="A173" s="268"/>
      <c r="B173" s="269"/>
      <c r="C173" s="264">
        <v>750</v>
      </c>
      <c r="D173" s="265">
        <v>750</v>
      </c>
      <c r="E173" s="266">
        <v>750</v>
      </c>
      <c r="F173" s="9">
        <v>750</v>
      </c>
    </row>
    <row r="174" spans="1:6" x14ac:dyDescent="0.3">
      <c r="A174" s="268"/>
      <c r="B174" s="269"/>
      <c r="C174" s="264"/>
      <c r="D174" s="265"/>
      <c r="E174" s="266"/>
      <c r="F174" s="9">
        <v>759</v>
      </c>
    </row>
    <row r="175" spans="1:6" x14ac:dyDescent="0.3">
      <c r="A175" s="268"/>
      <c r="B175" s="269"/>
      <c r="C175" s="264"/>
      <c r="D175" s="265"/>
      <c r="E175" s="266">
        <v>768</v>
      </c>
      <c r="F175" s="9">
        <v>768</v>
      </c>
    </row>
    <row r="176" spans="1:6" x14ac:dyDescent="0.3">
      <c r="A176" s="268"/>
      <c r="B176" s="269"/>
      <c r="C176" s="264"/>
      <c r="D176" s="265"/>
      <c r="E176" s="266"/>
      <c r="F176" s="9">
        <v>777</v>
      </c>
    </row>
    <row r="177" spans="1:6" x14ac:dyDescent="0.3">
      <c r="A177" s="268"/>
      <c r="B177" s="269"/>
      <c r="C177" s="264"/>
      <c r="D177" s="265">
        <v>787</v>
      </c>
      <c r="E177" s="266">
        <v>787</v>
      </c>
      <c r="F177" s="9">
        <v>787</v>
      </c>
    </row>
    <row r="178" spans="1:6" x14ac:dyDescent="0.3">
      <c r="A178" s="268"/>
      <c r="B178" s="269"/>
      <c r="C178" s="264"/>
      <c r="D178" s="265"/>
      <c r="E178" s="266"/>
      <c r="F178" s="9">
        <v>796</v>
      </c>
    </row>
    <row r="179" spans="1:6" x14ac:dyDescent="0.3">
      <c r="A179" s="268"/>
      <c r="B179" s="269"/>
      <c r="C179" s="264"/>
      <c r="D179" s="265"/>
      <c r="E179" s="266">
        <v>806</v>
      </c>
      <c r="F179" s="9">
        <v>806</v>
      </c>
    </row>
    <row r="180" spans="1:6" x14ac:dyDescent="0.3">
      <c r="A180" s="268"/>
      <c r="B180" s="269"/>
      <c r="C180" s="264"/>
      <c r="D180" s="265"/>
      <c r="E180" s="266"/>
      <c r="F180" s="9">
        <v>816</v>
      </c>
    </row>
    <row r="181" spans="1:6" x14ac:dyDescent="0.3">
      <c r="A181" s="268"/>
      <c r="B181" s="269">
        <v>820</v>
      </c>
      <c r="C181" s="264">
        <v>820</v>
      </c>
      <c r="D181" s="265">
        <v>825</v>
      </c>
      <c r="E181" s="266">
        <v>825</v>
      </c>
      <c r="F181" s="9">
        <v>825</v>
      </c>
    </row>
    <row r="182" spans="1:6" x14ac:dyDescent="0.3">
      <c r="A182" s="268"/>
      <c r="B182" s="269"/>
      <c r="C182" s="264"/>
      <c r="D182" s="265"/>
      <c r="E182" s="266"/>
      <c r="F182" s="9">
        <v>835</v>
      </c>
    </row>
    <row r="183" spans="1:6" x14ac:dyDescent="0.3">
      <c r="A183" s="268"/>
      <c r="B183" s="269"/>
      <c r="C183" s="264"/>
      <c r="D183" s="265"/>
      <c r="E183" s="266">
        <v>845</v>
      </c>
      <c r="F183" s="9">
        <v>845</v>
      </c>
    </row>
    <row r="184" spans="1:6" x14ac:dyDescent="0.3">
      <c r="A184" s="268"/>
      <c r="B184" s="269"/>
      <c r="C184" s="264"/>
      <c r="D184" s="265"/>
      <c r="E184" s="266"/>
      <c r="F184" s="9">
        <v>856</v>
      </c>
    </row>
    <row r="185" spans="1:6" x14ac:dyDescent="0.3">
      <c r="A185" s="268"/>
      <c r="B185" s="269"/>
      <c r="C185" s="264"/>
      <c r="D185" s="265">
        <v>866</v>
      </c>
      <c r="E185" s="266">
        <v>866</v>
      </c>
      <c r="F185" s="9">
        <v>866</v>
      </c>
    </row>
    <row r="186" spans="1:6" x14ac:dyDescent="0.3">
      <c r="A186" s="268"/>
      <c r="B186" s="269"/>
      <c r="C186" s="264"/>
      <c r="D186" s="265"/>
      <c r="E186" s="266"/>
      <c r="F186" s="9">
        <v>876</v>
      </c>
    </row>
    <row r="187" spans="1:6" x14ac:dyDescent="0.3">
      <c r="A187" s="268"/>
      <c r="B187" s="269"/>
      <c r="C187" s="264"/>
      <c r="D187" s="265"/>
      <c r="E187" s="266">
        <v>887</v>
      </c>
      <c r="F187" s="9">
        <v>887</v>
      </c>
    </row>
    <row r="188" spans="1:6" x14ac:dyDescent="0.3">
      <c r="A188" s="268"/>
      <c r="B188" s="269"/>
      <c r="C188" s="264"/>
      <c r="D188" s="265"/>
      <c r="E188" s="266"/>
      <c r="F188" s="9">
        <v>898</v>
      </c>
    </row>
    <row r="189" spans="1:6" x14ac:dyDescent="0.3">
      <c r="A189" s="268"/>
      <c r="B189" s="269"/>
      <c r="C189" s="264">
        <v>910</v>
      </c>
      <c r="D189" s="265">
        <v>909</v>
      </c>
      <c r="E189" s="266">
        <v>909</v>
      </c>
      <c r="F189" s="9">
        <v>909</v>
      </c>
    </row>
    <row r="190" spans="1:6" x14ac:dyDescent="0.3">
      <c r="A190" s="268"/>
      <c r="B190" s="269"/>
      <c r="C190" s="264"/>
      <c r="D190" s="265"/>
      <c r="E190" s="266"/>
      <c r="F190" s="9">
        <v>920</v>
      </c>
    </row>
    <row r="191" spans="1:6" x14ac:dyDescent="0.3">
      <c r="A191" s="268"/>
      <c r="B191" s="269"/>
      <c r="C191" s="264"/>
      <c r="D191" s="265"/>
      <c r="E191" s="266">
        <v>931</v>
      </c>
      <c r="F191" s="9">
        <v>931</v>
      </c>
    </row>
    <row r="192" spans="1:6" x14ac:dyDescent="0.3">
      <c r="A192" s="268"/>
      <c r="B192" s="269"/>
      <c r="C192" s="264"/>
      <c r="D192" s="265"/>
      <c r="E192" s="266"/>
      <c r="F192" s="9">
        <v>942</v>
      </c>
    </row>
    <row r="193" spans="1:7" x14ac:dyDescent="0.3">
      <c r="A193" s="268"/>
      <c r="B193" s="269"/>
      <c r="C193" s="264"/>
      <c r="D193" s="265">
        <v>953</v>
      </c>
      <c r="E193" s="266">
        <v>953</v>
      </c>
      <c r="F193" s="9">
        <v>953</v>
      </c>
    </row>
    <row r="194" spans="1:7" x14ac:dyDescent="0.3">
      <c r="A194" s="268"/>
      <c r="B194" s="269"/>
      <c r="C194" s="264"/>
      <c r="D194" s="265"/>
      <c r="E194" s="266"/>
      <c r="F194" s="9">
        <v>965</v>
      </c>
    </row>
    <row r="195" spans="1:7" x14ac:dyDescent="0.3">
      <c r="A195" s="268"/>
      <c r="B195" s="269"/>
      <c r="C195" s="264"/>
      <c r="D195" s="265"/>
      <c r="E195" s="266">
        <v>976</v>
      </c>
      <c r="F195" s="9">
        <v>976</v>
      </c>
    </row>
    <row r="196" spans="1:7" x14ac:dyDescent="0.3">
      <c r="A196" s="268"/>
      <c r="B196" s="269"/>
      <c r="C196" s="264"/>
      <c r="D196" s="265"/>
      <c r="E196" s="266"/>
      <c r="F196" s="9">
        <v>988</v>
      </c>
    </row>
    <row r="197" spans="1:7" x14ac:dyDescent="0.3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74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-0.499984740745262"/>
  </sheetPr>
  <dimension ref="A1:F75"/>
  <sheetViews>
    <sheetView workbookViewId="0">
      <pane xSplit="1" ySplit="3" topLeftCell="B53" activePane="bottomRight" state="frozen"/>
      <selection activeCell="G170" sqref="G170"/>
      <selection pane="topRight" activeCell="G170" sqref="G170"/>
      <selection pane="bottomLeft" activeCell="G170" sqref="G170"/>
      <selection pane="bottomRight" activeCell="A68" sqref="A68"/>
    </sheetView>
  </sheetViews>
  <sheetFormatPr defaultRowHeight="14.4" x14ac:dyDescent="0.3"/>
  <cols>
    <col min="1" max="4" width="9.33203125" bestFit="1" customWidth="1"/>
  </cols>
  <sheetData>
    <row r="1" spans="1:4" ht="26.25" x14ac:dyDescent="0.4">
      <c r="A1" s="19" t="s">
        <v>76</v>
      </c>
      <c r="B1" s="19"/>
    </row>
    <row r="3" spans="1:4" x14ac:dyDescent="0.3">
      <c r="A3" s="17" t="s">
        <v>58</v>
      </c>
      <c r="B3" s="17" t="s">
        <v>8</v>
      </c>
      <c r="C3" s="17" t="s">
        <v>75</v>
      </c>
      <c r="D3" s="17" t="s">
        <v>78</v>
      </c>
    </row>
    <row r="4" spans="1:4" ht="15" x14ac:dyDescent="0.25">
      <c r="A4" s="18">
        <v>1</v>
      </c>
      <c r="B4" s="18">
        <v>1</v>
      </c>
      <c r="C4" s="18">
        <v>1</v>
      </c>
      <c r="D4" s="18">
        <v>1</v>
      </c>
    </row>
    <row r="5" spans="1:4" ht="15" x14ac:dyDescent="0.25">
      <c r="A5" s="18">
        <v>1.1000000000000001</v>
      </c>
      <c r="B5" s="18">
        <v>1.1000000000000001</v>
      </c>
      <c r="C5" s="18"/>
      <c r="D5" s="18"/>
    </row>
    <row r="6" spans="1:4" ht="15" x14ac:dyDescent="0.25">
      <c r="A6" s="18">
        <v>1.2</v>
      </c>
      <c r="B6" s="18">
        <v>1.2</v>
      </c>
      <c r="C6" s="18"/>
      <c r="D6" s="18"/>
    </row>
    <row r="7" spans="1:4" ht="15" x14ac:dyDescent="0.25">
      <c r="A7" s="18">
        <v>1.3</v>
      </c>
      <c r="B7" s="18">
        <v>1.3</v>
      </c>
      <c r="C7" s="18"/>
      <c r="D7" s="18"/>
    </row>
    <row r="8" spans="1:4" ht="15" x14ac:dyDescent="0.25">
      <c r="A8" s="18">
        <v>1.5</v>
      </c>
      <c r="B8" s="18">
        <v>1.5</v>
      </c>
      <c r="C8" s="18">
        <v>1.5</v>
      </c>
      <c r="D8" s="18">
        <v>1.5</v>
      </c>
    </row>
    <row r="9" spans="1:4" ht="15" x14ac:dyDescent="0.25">
      <c r="A9" s="18">
        <v>1.6</v>
      </c>
      <c r="B9" s="18">
        <v>1.6</v>
      </c>
      <c r="C9" s="18"/>
      <c r="D9" s="18"/>
    </row>
    <row r="10" spans="1:4" ht="15" x14ac:dyDescent="0.25">
      <c r="A10" s="18">
        <v>1.8</v>
      </c>
      <c r="B10" s="18">
        <v>1.8</v>
      </c>
      <c r="C10" s="18"/>
      <c r="D10" s="18"/>
    </row>
    <row r="11" spans="1:4" ht="15" x14ac:dyDescent="0.25">
      <c r="A11" s="18">
        <v>2</v>
      </c>
      <c r="B11" s="18">
        <v>2</v>
      </c>
      <c r="C11" s="18"/>
      <c r="D11" s="18"/>
    </row>
    <row r="12" spans="1:4" ht="15" x14ac:dyDescent="0.25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ht="15" x14ac:dyDescent="0.25">
      <c r="A13" s="18">
        <v>2.4</v>
      </c>
      <c r="B13" s="18">
        <v>2.4</v>
      </c>
      <c r="C13" s="18"/>
      <c r="D13" s="18"/>
    </row>
    <row r="14" spans="1:4" ht="15" x14ac:dyDescent="0.25">
      <c r="A14" s="18">
        <v>2.7</v>
      </c>
      <c r="B14" s="18">
        <v>2.7</v>
      </c>
      <c r="C14" s="18"/>
      <c r="D14" s="18"/>
    </row>
    <row r="15" spans="1:4" ht="15" x14ac:dyDescent="0.25">
      <c r="A15" s="18">
        <v>3</v>
      </c>
      <c r="B15" s="18">
        <v>3</v>
      </c>
      <c r="C15" s="18"/>
      <c r="D15" s="18"/>
    </row>
    <row r="16" spans="1:4" ht="15" x14ac:dyDescent="0.25">
      <c r="A16" s="18">
        <v>3.3</v>
      </c>
      <c r="B16" s="18">
        <v>3.3</v>
      </c>
      <c r="C16" s="18">
        <v>3.3</v>
      </c>
      <c r="D16" s="18">
        <v>3.3</v>
      </c>
    </row>
    <row r="17" spans="1:6" ht="15" x14ac:dyDescent="0.25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ht="15" x14ac:dyDescent="0.25">
      <c r="A18" s="18">
        <v>3.9</v>
      </c>
      <c r="B18" s="18">
        <v>3.9</v>
      </c>
      <c r="C18" s="18">
        <f t="shared" si="0"/>
        <v>4.7</v>
      </c>
      <c r="D18" s="18"/>
    </row>
    <row r="19" spans="1:6" ht="15" x14ac:dyDescent="0.25">
      <c r="A19" s="18">
        <v>4.3</v>
      </c>
      <c r="B19" s="18">
        <v>4.3</v>
      </c>
      <c r="C19" s="18">
        <f>C20</f>
        <v>4.7</v>
      </c>
      <c r="D19" s="18"/>
    </row>
    <row r="20" spans="1:6" ht="15" x14ac:dyDescent="0.25">
      <c r="A20" s="18">
        <v>4.7</v>
      </c>
      <c r="B20" s="18">
        <v>4.7</v>
      </c>
      <c r="C20" s="18">
        <v>4.7</v>
      </c>
      <c r="D20" s="18">
        <v>4.7</v>
      </c>
    </row>
    <row r="21" spans="1:6" ht="15" x14ac:dyDescent="0.25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ht="15" x14ac:dyDescent="0.25">
      <c r="A22" s="18">
        <v>5.6</v>
      </c>
      <c r="B22" s="18">
        <v>5.6</v>
      </c>
      <c r="C22" s="18">
        <f t="shared" si="1"/>
        <v>6.8</v>
      </c>
      <c r="D22" s="18"/>
    </row>
    <row r="23" spans="1:6" ht="15" x14ac:dyDescent="0.25">
      <c r="A23" s="18">
        <v>6.2</v>
      </c>
      <c r="B23" s="18">
        <v>6.2</v>
      </c>
      <c r="C23" s="18">
        <f>C24</f>
        <v>6.8</v>
      </c>
      <c r="D23" s="18"/>
    </row>
    <row r="24" spans="1:6" ht="15" x14ac:dyDescent="0.25">
      <c r="A24" s="18">
        <v>6.8</v>
      </c>
      <c r="B24" s="18">
        <v>6.8</v>
      </c>
      <c r="C24" s="18">
        <v>6.8</v>
      </c>
      <c r="D24" s="18">
        <v>6.8</v>
      </c>
    </row>
    <row r="25" spans="1:6" ht="15" x14ac:dyDescent="0.25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ht="15" x14ac:dyDescent="0.25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ht="15" x14ac:dyDescent="0.25">
      <c r="A27" s="18">
        <v>9.1</v>
      </c>
      <c r="B27" s="18">
        <v>9.1</v>
      </c>
      <c r="C27" s="18">
        <f>C28</f>
        <v>10</v>
      </c>
      <c r="D27" s="18"/>
    </row>
    <row r="28" spans="1:6" x14ac:dyDescent="0.3">
      <c r="A28" s="18">
        <v>10</v>
      </c>
      <c r="B28" s="18">
        <v>10</v>
      </c>
      <c r="C28" s="18">
        <v>10</v>
      </c>
      <c r="D28" s="18">
        <v>10</v>
      </c>
    </row>
    <row r="29" spans="1:6" x14ac:dyDescent="0.3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3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3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3">
      <c r="A32" s="18">
        <v>15</v>
      </c>
      <c r="B32" s="18">
        <v>15</v>
      </c>
      <c r="C32" s="18">
        <v>15</v>
      </c>
      <c r="D32" s="18"/>
      <c r="F32" s="20"/>
    </row>
    <row r="33" spans="1:4" x14ac:dyDescent="0.3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3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3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3">
      <c r="A36" s="18">
        <v>22</v>
      </c>
      <c r="B36" s="18">
        <v>22</v>
      </c>
      <c r="C36" s="18">
        <v>22</v>
      </c>
      <c r="D36" s="18"/>
    </row>
    <row r="37" spans="1:4" x14ac:dyDescent="0.3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3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3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3">
      <c r="A40" s="18">
        <v>33</v>
      </c>
      <c r="B40" s="18">
        <v>33</v>
      </c>
      <c r="C40" s="18">
        <v>33</v>
      </c>
      <c r="D40" s="18"/>
    </row>
    <row r="41" spans="1:4" x14ac:dyDescent="0.3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3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3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3">
      <c r="A44" s="18">
        <v>47</v>
      </c>
      <c r="B44" s="18">
        <v>47</v>
      </c>
      <c r="C44" s="18">
        <v>47</v>
      </c>
      <c r="D44" s="18"/>
    </row>
    <row r="45" spans="1:4" x14ac:dyDescent="0.3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3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3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3">
      <c r="A48" s="18">
        <v>68</v>
      </c>
      <c r="B48" s="18">
        <v>68</v>
      </c>
      <c r="C48" s="18">
        <v>68</v>
      </c>
      <c r="D48" s="18"/>
    </row>
    <row r="49" spans="1:4" x14ac:dyDescent="0.3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3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3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3">
      <c r="A52" s="18">
        <v>100</v>
      </c>
      <c r="B52" s="18">
        <v>100</v>
      </c>
      <c r="C52" s="18">
        <v>100</v>
      </c>
    </row>
    <row r="53" spans="1:4" x14ac:dyDescent="0.3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3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3">
      <c r="A55" s="18">
        <v>130</v>
      </c>
      <c r="B55" s="18">
        <f>B56</f>
        <v>150</v>
      </c>
      <c r="C55" s="18">
        <f>C56</f>
        <v>150</v>
      </c>
    </row>
    <row r="56" spans="1:4" x14ac:dyDescent="0.3">
      <c r="A56" s="18">
        <v>150</v>
      </c>
      <c r="B56" s="18">
        <v>150</v>
      </c>
      <c r="C56" s="18">
        <v>150</v>
      </c>
    </row>
    <row r="57" spans="1:4" x14ac:dyDescent="0.3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3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3">
      <c r="A59" s="18">
        <v>200</v>
      </c>
      <c r="B59" s="18">
        <f>B60</f>
        <v>220</v>
      </c>
      <c r="C59" s="18">
        <f>C60</f>
        <v>220</v>
      </c>
    </row>
    <row r="60" spans="1:4" x14ac:dyDescent="0.3">
      <c r="A60" s="18">
        <v>220</v>
      </c>
      <c r="B60" s="18">
        <v>220</v>
      </c>
      <c r="C60" s="18">
        <v>220</v>
      </c>
    </row>
    <row r="61" spans="1:4" x14ac:dyDescent="0.3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3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3">
      <c r="A63" s="18">
        <v>300</v>
      </c>
      <c r="B63" s="18">
        <f>B64</f>
        <v>330</v>
      </c>
      <c r="C63" s="18">
        <f>C64</f>
        <v>330</v>
      </c>
    </row>
    <row r="64" spans="1:4" x14ac:dyDescent="0.3">
      <c r="A64" s="18">
        <v>330</v>
      </c>
      <c r="B64" s="18">
        <v>330</v>
      </c>
      <c r="C64" s="18">
        <v>330</v>
      </c>
    </row>
    <row r="65" spans="1:3" x14ac:dyDescent="0.3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3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3">
      <c r="A67" s="18">
        <v>430</v>
      </c>
      <c r="B67" s="18">
        <f>B68</f>
        <v>470</v>
      </c>
      <c r="C67" s="18">
        <f>C68</f>
        <v>470</v>
      </c>
    </row>
    <row r="68" spans="1:3" x14ac:dyDescent="0.3">
      <c r="A68" s="18">
        <v>470</v>
      </c>
      <c r="B68" s="18">
        <v>470</v>
      </c>
      <c r="C68" s="18">
        <v>470</v>
      </c>
    </row>
    <row r="69" spans="1:3" x14ac:dyDescent="0.3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3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3">
      <c r="A71" s="18">
        <v>620</v>
      </c>
      <c r="B71" s="18">
        <f>B72</f>
        <v>680</v>
      </c>
      <c r="C71" s="18">
        <f>C72</f>
        <v>680</v>
      </c>
    </row>
    <row r="72" spans="1:3" x14ac:dyDescent="0.3">
      <c r="A72" s="18">
        <v>680</v>
      </c>
      <c r="B72" s="18">
        <v>680</v>
      </c>
      <c r="C72" s="18">
        <v>680</v>
      </c>
    </row>
    <row r="73" spans="1:3" x14ac:dyDescent="0.3">
      <c r="A73" s="18">
        <v>750</v>
      </c>
      <c r="B73" s="18">
        <f>B74</f>
        <v>1000</v>
      </c>
      <c r="C73" s="18">
        <f>C74</f>
        <v>1000</v>
      </c>
    </row>
    <row r="74" spans="1:3" ht="15" x14ac:dyDescent="0.25">
      <c r="A74" s="18">
        <v>820</v>
      </c>
      <c r="B74" s="18">
        <f>B75</f>
        <v>1000</v>
      </c>
      <c r="C74" s="18">
        <f>C75</f>
        <v>1000</v>
      </c>
    </row>
    <row r="75" spans="1:3" ht="15" x14ac:dyDescent="0.25">
      <c r="A75" s="18">
        <v>910</v>
      </c>
      <c r="B75" s="18">
        <v>1000</v>
      </c>
      <c r="C75" s="18">
        <v>1000</v>
      </c>
    </row>
  </sheetData>
  <sheetProtection sheet="1" objects="1" scenarios="1"/>
  <hyperlinks>
    <hyperlink ref="A1:B1" r:id="rId1" display="Standard Capacitor Valu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Calculation Sheet</vt:lpstr>
      <vt:lpstr>Thermal Shutdown Limit Plot</vt:lpstr>
      <vt:lpstr>Res EIA Tables</vt:lpstr>
      <vt:lpstr>Cap Tables</vt:lpstr>
      <vt:lpstr>Cdvdt_ext</vt:lpstr>
      <vt:lpstr>Cdvdt_ext_cal1</vt:lpstr>
      <vt:lpstr>Cext_dvdt_cal2</vt:lpstr>
      <vt:lpstr>Cout</vt:lpstr>
      <vt:lpstr>Gain_dVdt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OVset</vt:lpstr>
      <vt:lpstr>Rdson_125deg</vt:lpstr>
      <vt:lpstr>Rdson_25deg</vt:lpstr>
      <vt:lpstr>RILM</vt:lpstr>
      <vt:lpstr>Rlimit</vt:lpstr>
      <vt:lpstr>Rlstart</vt:lpstr>
      <vt:lpstr>RpUVLO</vt:lpstr>
      <vt:lpstr>Tchg_dvdt</vt:lpstr>
      <vt:lpstr>Tchg_req</vt:lpstr>
      <vt:lpstr>UVref</vt:lpstr>
      <vt:lpstr>UVset</vt:lpstr>
      <vt:lpstr>Vcc_max</vt:lpstr>
      <vt:lpstr>VUVP</vt:lpstr>
    </vt:vector>
  </TitlesOfParts>
  <Company>Texas Instruments Incorporated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Windows User</cp:lastModifiedBy>
  <cp:lastPrinted>2013-06-05T10:58:25Z</cp:lastPrinted>
  <dcterms:created xsi:type="dcterms:W3CDTF">2013-05-30T14:28:05Z</dcterms:created>
  <dcterms:modified xsi:type="dcterms:W3CDTF">2018-01-05T06:41:28Z</dcterms:modified>
</cp:coreProperties>
</file>